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ropbox\Maletin\TARIFARIO\"/>
    </mc:Choice>
  </mc:AlternateContent>
  <xr:revisionPtr revIDLastSave="0" documentId="13_ncr:1_{561893DD-0DA8-4915-B74B-718F1DD06F4C}" xr6:coauthVersionLast="47" xr6:coauthVersionMax="47" xr10:uidLastSave="{00000000-0000-0000-0000-000000000000}"/>
  <bookViews>
    <workbookView xWindow="-120" yWindow="-120" windowWidth="24240" windowHeight="12525" activeTab="2" xr2:uid="{00000000-000D-0000-FFFF-FFFF00000000}"/>
  </bookViews>
  <sheets>
    <sheet name="Tarifario completo" sheetId="17" r:id="rId1"/>
    <sheet name="Tarifas Web" sheetId="8" r:id="rId2"/>
    <sheet name="Precios Mostrador" sheetId="9" r:id="rId3"/>
    <sheet name="Linea VIP - Tarifas Web" sheetId="11" r:id="rId4"/>
    <sheet name="Internacional" sheetId="16" r:id="rId5"/>
  </sheets>
  <definedNames>
    <definedName name="_xlnm._FilterDatabase" localSheetId="4" hidden="1">Internacional!$B$4:$E$1485</definedName>
    <definedName name="_xlnm._FilterDatabase" localSheetId="0" hidden="1">'Tarifario completo'!$A$3:$M$43</definedName>
    <definedName name="_xlnm.Print_Area" localSheetId="3">'Linea VIP - Tarifas Web'!$A$2:$K$19</definedName>
  </definedNames>
  <calcPr calcId="181029"/>
</workbook>
</file>

<file path=xl/calcChain.xml><?xml version="1.0" encoding="utf-8"?>
<calcChain xmlns="http://schemas.openxmlformats.org/spreadsheetml/2006/main">
  <c r="M11" i="17" l="1"/>
  <c r="G13" i="17"/>
  <c r="C13" i="8"/>
  <c r="C14" i="8"/>
  <c r="C15" i="8"/>
  <c r="C16" i="8"/>
  <c r="C17" i="8"/>
  <c r="C18" i="8"/>
  <c r="C19" i="8"/>
  <c r="C20" i="8"/>
  <c r="C21" i="8"/>
  <c r="C22" i="8"/>
  <c r="D42" i="8"/>
  <c r="L12" i="17"/>
  <c r="K8" i="17"/>
  <c r="K9" i="17" s="1"/>
  <c r="K10" i="17" s="1"/>
  <c r="K11" i="17" s="1"/>
  <c r="M6" i="17"/>
  <c r="M7" i="17"/>
  <c r="M8" i="17"/>
  <c r="M9" i="17"/>
  <c r="M10" i="17"/>
  <c r="M5" i="17"/>
  <c r="O34" i="17"/>
  <c r="O27" i="17"/>
  <c r="O26" i="17"/>
  <c r="O25" i="17"/>
  <c r="O11" i="17"/>
  <c r="L11" i="17" l="1"/>
  <c r="P11" i="17" s="1"/>
  <c r="Q11" i="17" s="1"/>
  <c r="K25" i="17"/>
  <c r="K26" i="17" s="1"/>
  <c r="L26" i="17" s="1"/>
  <c r="B25" i="9"/>
  <c r="C25" i="9"/>
  <c r="D25" i="9"/>
  <c r="E25" i="9"/>
  <c r="B26" i="9"/>
  <c r="C26" i="9"/>
  <c r="D26" i="9"/>
  <c r="E26" i="9"/>
  <c r="G26" i="9"/>
  <c r="F26" i="9" s="1"/>
  <c r="B27" i="9"/>
  <c r="C27" i="9"/>
  <c r="D27" i="9"/>
  <c r="E27" i="9"/>
  <c r="G27" i="9"/>
  <c r="F27" i="9" s="1"/>
  <c r="B25" i="8"/>
  <c r="B26" i="8"/>
  <c r="B27" i="8"/>
  <c r="B11" i="9"/>
  <c r="C11" i="9"/>
  <c r="D11" i="9"/>
  <c r="E11" i="9"/>
  <c r="G11" i="9"/>
  <c r="F11" i="9" s="1"/>
  <c r="B11" i="8"/>
  <c r="D11" i="8" l="1"/>
  <c r="C11" i="8" s="1"/>
  <c r="K27" i="17"/>
  <c r="L27" i="17" s="1"/>
  <c r="I11" i="9"/>
  <c r="H11" i="9" s="1"/>
  <c r="L25" i="17"/>
  <c r="I25" i="17"/>
  <c r="G25" i="9" s="1"/>
  <c r="F25" i="9" s="1"/>
  <c r="K28" i="17" l="1"/>
  <c r="K29" i="17" s="1"/>
  <c r="K31" i="17" s="1"/>
  <c r="K32" i="17" s="1"/>
  <c r="K33" i="17" s="1"/>
  <c r="K34" i="17" s="1"/>
  <c r="L34" i="17" s="1"/>
  <c r="P34" i="17" s="1"/>
  <c r="Q34" i="17" s="1"/>
  <c r="K35" i="17" l="1"/>
  <c r="O22" i="17"/>
  <c r="P22" i="17"/>
  <c r="O21" i="17"/>
  <c r="P21" i="17"/>
  <c r="K21" i="17"/>
  <c r="K22" i="17"/>
  <c r="B21" i="9"/>
  <c r="I21" i="9"/>
  <c r="H21" i="9" s="1"/>
  <c r="B22" i="9"/>
  <c r="I22" i="9"/>
  <c r="H22" i="9" s="1"/>
  <c r="B21" i="8"/>
  <c r="D21" i="8"/>
  <c r="B22" i="8"/>
  <c r="D22" i="8"/>
  <c r="K14" i="17"/>
  <c r="O14" i="17"/>
  <c r="P14" i="17"/>
  <c r="Q21" i="17" l="1"/>
  <c r="Q22" i="17"/>
  <c r="Q14" i="17"/>
  <c r="B14" i="8"/>
  <c r="D14" i="8"/>
  <c r="B14" i="9"/>
  <c r="I14" i="9"/>
  <c r="H14" i="9" s="1"/>
  <c r="O19" i="17" l="1"/>
  <c r="P19" i="17"/>
  <c r="O18" i="17"/>
  <c r="P18" i="17"/>
  <c r="Q19" i="17" l="1"/>
  <c r="Q18" i="17"/>
  <c r="K18" i="17"/>
  <c r="K20" i="17"/>
  <c r="O47" i="17" l="1"/>
  <c r="K15" i="17"/>
  <c r="O15" i="17"/>
  <c r="O31" i="17"/>
  <c r="O32" i="17"/>
  <c r="O33" i="17"/>
  <c r="O35" i="17"/>
  <c r="O24" i="17"/>
  <c r="O28" i="17"/>
  <c r="O29" i="17"/>
  <c r="P20" i="17"/>
  <c r="P17" i="17"/>
  <c r="P16" i="17"/>
  <c r="P15" i="17"/>
  <c r="P13" i="17"/>
  <c r="O5" i="17"/>
  <c r="B13" i="9"/>
  <c r="I13" i="9"/>
  <c r="H13" i="9" s="1"/>
  <c r="B15" i="9"/>
  <c r="I15" i="9"/>
  <c r="H15" i="9" s="1"/>
  <c r="B16" i="9"/>
  <c r="I16" i="9"/>
  <c r="H16" i="9" s="1"/>
  <c r="B17" i="9"/>
  <c r="I17" i="9"/>
  <c r="H17" i="9" s="1"/>
  <c r="B18" i="9"/>
  <c r="I18" i="9"/>
  <c r="H18" i="9" s="1"/>
  <c r="B19" i="9"/>
  <c r="I19" i="9"/>
  <c r="H19" i="9" s="1"/>
  <c r="B20" i="9"/>
  <c r="I20" i="9"/>
  <c r="H20" i="9" s="1"/>
  <c r="B23" i="9"/>
  <c r="B13" i="8"/>
  <c r="D13" i="8"/>
  <c r="B15" i="8"/>
  <c r="D15" i="8"/>
  <c r="B16" i="8"/>
  <c r="D16" i="8"/>
  <c r="B17" i="8"/>
  <c r="D17" i="8"/>
  <c r="B18" i="8"/>
  <c r="D18" i="8"/>
  <c r="B19" i="8"/>
  <c r="D19" i="8"/>
  <c r="B20" i="8"/>
  <c r="D20" i="8"/>
  <c r="B23" i="8"/>
  <c r="K13" i="17"/>
  <c r="K17" i="17"/>
  <c r="K16" i="17"/>
  <c r="Q15" i="17" l="1"/>
  <c r="O23" i="17"/>
  <c r="O20" i="17"/>
  <c r="Q20" i="17" s="1"/>
  <c r="O17" i="17"/>
  <c r="Q17" i="17" s="1"/>
  <c r="O16" i="17"/>
  <c r="Q16" i="17" s="1"/>
  <c r="O13" i="17"/>
  <c r="Q13" i="17" s="1"/>
  <c r="O12" i="17"/>
  <c r="B12" i="9"/>
  <c r="B12" i="8"/>
  <c r="B31" i="9"/>
  <c r="G31" i="9"/>
  <c r="F31" i="9" s="1"/>
  <c r="K19" i="17" l="1"/>
  <c r="L35" i="17" l="1"/>
  <c r="P35" i="17" s="1"/>
  <c r="Q35" i="17" s="1"/>
  <c r="L33" i="17"/>
  <c r="P33" i="17" s="1"/>
  <c r="Q33" i="17" s="1"/>
  <c r="L32" i="17"/>
  <c r="P32" i="17" s="1"/>
  <c r="Q32" i="17" s="1"/>
  <c r="L31" i="17"/>
  <c r="P31" i="17" s="1"/>
  <c r="Q31" i="17" s="1"/>
  <c r="L29" i="17"/>
  <c r="P29" i="17" s="1"/>
  <c r="Q29" i="17" s="1"/>
  <c r="L28" i="17"/>
  <c r="P28" i="17" s="1"/>
  <c r="Q28" i="17" s="1"/>
  <c r="L24" i="17"/>
  <c r="L23" i="17"/>
  <c r="L10" i="17"/>
  <c r="L9" i="17"/>
  <c r="L8" i="17"/>
  <c r="L7" i="17"/>
  <c r="L6" i="17"/>
  <c r="L5" i="17"/>
  <c r="P5" i="17" s="1"/>
  <c r="F6" i="11" l="1"/>
  <c r="F8" i="11" s="1"/>
  <c r="P26" i="17"/>
  <c r="Q26" i="17" s="1"/>
  <c r="P24" i="17"/>
  <c r="Q24" i="17" s="1"/>
  <c r="P23" i="17"/>
  <c r="Q23" i="17" s="1"/>
  <c r="I23" i="9"/>
  <c r="H23" i="9" s="1"/>
  <c r="D23" i="8"/>
  <c r="C23" i="8" s="1"/>
  <c r="Q5" i="17"/>
  <c r="O7" i="17"/>
  <c r="O8" i="17"/>
  <c r="O9" i="17"/>
  <c r="O10" i="17"/>
  <c r="O6" i="17"/>
  <c r="O36" i="17" l="1"/>
  <c r="O48" i="17" s="1"/>
  <c r="P25" i="17"/>
  <c r="Q25" i="17" s="1"/>
  <c r="I25" i="9"/>
  <c r="H25" i="9" s="1"/>
  <c r="D25" i="8"/>
  <c r="C25" i="8" s="1"/>
  <c r="D26" i="8"/>
  <c r="C26" i="8" s="1"/>
  <c r="I26" i="9"/>
  <c r="H26" i="9" s="1"/>
  <c r="P27" i="17"/>
  <c r="Q27" i="17" s="1"/>
  <c r="P10" i="17"/>
  <c r="Q10" i="17" s="1"/>
  <c r="P9" i="17"/>
  <c r="Q9" i="17" s="1"/>
  <c r="P8" i="17"/>
  <c r="Q8" i="17" s="1"/>
  <c r="P7" i="17"/>
  <c r="Q7" i="17" s="1"/>
  <c r="P6" i="17"/>
  <c r="G37" i="9"/>
  <c r="F37" i="9" s="1"/>
  <c r="B37" i="9"/>
  <c r="I27" i="9" l="1"/>
  <c r="H27" i="9" s="1"/>
  <c r="D27" i="8"/>
  <c r="C27" i="8" s="1"/>
  <c r="Q6" i="17"/>
  <c r="B10" i="9"/>
  <c r="C10" i="9"/>
  <c r="D10" i="9"/>
  <c r="E10" i="9"/>
  <c r="G10" i="9"/>
  <c r="F10" i="9" s="1"/>
  <c r="B5" i="9" l="1"/>
  <c r="I10" i="9"/>
  <c r="H10" i="9" s="1"/>
  <c r="I30" i="9" l="1"/>
  <c r="E5" i="9" l="1"/>
  <c r="E6" i="9"/>
  <c r="E7" i="9"/>
  <c r="E8" i="9"/>
  <c r="E9" i="9"/>
  <c r="E24" i="9"/>
  <c r="E28" i="9"/>
  <c r="E29" i="9"/>
  <c r="D33" i="8" l="1"/>
  <c r="C33" i="8" s="1"/>
  <c r="D32" i="8"/>
  <c r="C32" i="8" s="1"/>
  <c r="D31" i="8"/>
  <c r="C31" i="8" s="1"/>
  <c r="D30" i="8"/>
  <c r="C30" i="8" s="1"/>
  <c r="B31" i="8"/>
  <c r="B32" i="8"/>
  <c r="B33" i="8"/>
  <c r="B30" i="8"/>
  <c r="B6" i="8"/>
  <c r="D6" i="8"/>
  <c r="C6" i="8" s="1"/>
  <c r="B7" i="8"/>
  <c r="D7" i="8"/>
  <c r="C7" i="8" s="1"/>
  <c r="B8" i="8"/>
  <c r="D8" i="8"/>
  <c r="C8" i="8" s="1"/>
  <c r="B9" i="8"/>
  <c r="D9" i="8"/>
  <c r="C9" i="8" s="1"/>
  <c r="B10" i="8"/>
  <c r="D10" i="8"/>
  <c r="C10" i="8" s="1"/>
  <c r="B24" i="8"/>
  <c r="D24" i="8"/>
  <c r="C24" i="8" s="1"/>
  <c r="B28" i="8"/>
  <c r="D28" i="8"/>
  <c r="C28" i="8" s="1"/>
  <c r="B29" i="8"/>
  <c r="D29" i="8"/>
  <c r="C29" i="8" s="1"/>
  <c r="I36" i="9" l="1"/>
  <c r="H36" i="9" s="1"/>
  <c r="G36" i="9"/>
  <c r="F36" i="9" s="1"/>
  <c r="B36" i="9"/>
  <c r="I35" i="9"/>
  <c r="H35" i="9" s="1"/>
  <c r="G35" i="9"/>
  <c r="F35" i="9" s="1"/>
  <c r="B35" i="9"/>
  <c r="I34" i="9"/>
  <c r="H34" i="9" s="1"/>
  <c r="G34" i="9"/>
  <c r="F34" i="9" s="1"/>
  <c r="B34" i="9"/>
  <c r="I33" i="9"/>
  <c r="H33" i="9" s="1"/>
  <c r="G33" i="9"/>
  <c r="F33" i="9" s="1"/>
  <c r="B33" i="9"/>
  <c r="I32" i="9"/>
  <c r="H32" i="9" s="1"/>
  <c r="G32" i="9"/>
  <c r="F32" i="9" s="1"/>
  <c r="B32" i="9"/>
  <c r="B24" i="9"/>
  <c r="C24" i="9"/>
  <c r="D24" i="9"/>
  <c r="B28" i="9"/>
  <c r="C28" i="9"/>
  <c r="D28" i="9"/>
  <c r="B29" i="9"/>
  <c r="C29" i="9"/>
  <c r="D29" i="9"/>
  <c r="G24" i="9"/>
  <c r="F24" i="9" s="1"/>
  <c r="I24" i="9"/>
  <c r="H24" i="9" s="1"/>
  <c r="G28" i="9"/>
  <c r="F28" i="9" s="1"/>
  <c r="I28" i="9"/>
  <c r="H28" i="9" s="1"/>
  <c r="I29" i="9"/>
  <c r="H29" i="9" s="1"/>
  <c r="G29" i="9"/>
  <c r="F29" i="9" s="1"/>
  <c r="G9" i="9"/>
  <c r="B9" i="9"/>
  <c r="C9" i="9"/>
  <c r="D9" i="9"/>
  <c r="B6" i="9"/>
  <c r="C6" i="9"/>
  <c r="D6" i="9"/>
  <c r="G6" i="9"/>
  <c r="F6" i="9" s="1"/>
  <c r="I6" i="9"/>
  <c r="H6" i="9" s="1"/>
  <c r="B7" i="9"/>
  <c r="C7" i="9"/>
  <c r="D7" i="9"/>
  <c r="G7" i="9"/>
  <c r="F7" i="9" s="1"/>
  <c r="I7" i="9"/>
  <c r="H7" i="9" s="1"/>
  <c r="B8" i="9"/>
  <c r="C8" i="9"/>
  <c r="D8" i="9"/>
  <c r="G8" i="9"/>
  <c r="F8" i="9" s="1"/>
  <c r="I8" i="9"/>
  <c r="H8" i="9" s="1"/>
  <c r="G5" i="9"/>
  <c r="F5" i="9" s="1"/>
  <c r="D5" i="9"/>
  <c r="C5" i="9"/>
  <c r="G39" i="9" l="1"/>
  <c r="B39" i="9"/>
  <c r="B38" i="9" l="1"/>
  <c r="G38" i="9"/>
  <c r="F38" i="9" s="1"/>
  <c r="D34" i="8" l="1"/>
  <c r="J2" i="11" l="1"/>
  <c r="J9" i="11"/>
  <c r="B2" i="9"/>
  <c r="I2" i="9"/>
  <c r="F9" i="9"/>
  <c r="B30" i="9"/>
  <c r="G30" i="9"/>
  <c r="F30" i="9" s="1"/>
  <c r="H30" i="9"/>
  <c r="B5" i="8"/>
  <c r="I5" i="9" l="1"/>
  <c r="H5" i="9" s="1"/>
  <c r="F5" i="11"/>
  <c r="F7" i="11" s="1"/>
  <c r="I9" i="9" l="1"/>
  <c r="H9" i="9" s="1"/>
  <c r="L49" i="17"/>
  <c r="I7" i="11" s="1"/>
  <c r="L47" i="17"/>
  <c r="L48" i="17"/>
  <c r="H5" i="11" s="1"/>
  <c r="L50" i="17"/>
  <c r="J5" i="11" s="1"/>
  <c r="I39" i="9" l="1"/>
  <c r="H39" i="9" s="1"/>
  <c r="P47" i="17"/>
  <c r="I6" i="11"/>
  <c r="I8" i="11"/>
  <c r="I5" i="11"/>
  <c r="Q47" i="17" l="1"/>
  <c r="P12" i="17" l="1"/>
  <c r="I12" i="9"/>
  <c r="H12" i="9" s="1"/>
  <c r="D12" i="8"/>
  <c r="C12" i="8" s="1"/>
  <c r="P36" i="17" l="1"/>
  <c r="P48" i="17" s="1"/>
  <c r="Q48" i="17" s="1"/>
  <c r="Q49" i="17" s="1"/>
  <c r="Q12" i="17"/>
  <c r="Q36" i="17" s="1"/>
</calcChain>
</file>

<file path=xl/sharedStrings.xml><?xml version="1.0" encoding="utf-8"?>
<sst xmlns="http://schemas.openxmlformats.org/spreadsheetml/2006/main" count="10099" uniqueCount="3791">
  <si>
    <t>Banda</t>
  </si>
  <si>
    <t>SPRINT Banda 74</t>
  </si>
  <si>
    <t>SPRINT Banda 94</t>
  </si>
  <si>
    <t>R</t>
  </si>
  <si>
    <t>F</t>
  </si>
  <si>
    <t>Mb</t>
  </si>
  <si>
    <t>C</t>
  </si>
  <si>
    <t>Hogar/ Corp</t>
  </si>
  <si>
    <t>H</t>
  </si>
  <si>
    <t>OBSERVACIONES</t>
  </si>
  <si>
    <t>Fib/Rad</t>
  </si>
  <si>
    <t>As/Sim</t>
  </si>
  <si>
    <t>A</t>
  </si>
  <si>
    <t>S</t>
  </si>
  <si>
    <t>Abono Mensual</t>
  </si>
  <si>
    <t>Fibra</t>
  </si>
  <si>
    <t>Incluye IVA, del 21 %</t>
  </si>
  <si>
    <t>LP 0221</t>
  </si>
  <si>
    <t>AMBA 011</t>
  </si>
  <si>
    <t>--</t>
  </si>
  <si>
    <t>Destino Nacional</t>
  </si>
  <si>
    <t>Destino Local</t>
  </si>
  <si>
    <t>Precio de los Minutos Excedentes</t>
  </si>
  <si>
    <t>Minutos Locales Incluidos</t>
  </si>
  <si>
    <t>Cargo Inicial</t>
  </si>
  <si>
    <t>Clientes</t>
  </si>
  <si>
    <t>Nombre</t>
  </si>
  <si>
    <t>Sista s.a. - LINEA VIP</t>
  </si>
  <si>
    <t>Estos precios son los de Metrotel, con un incremento del 30 % y el iva del 21 %</t>
  </si>
  <si>
    <t>Copiar las 4 columnas, pegar en Word como "texto", agregarle las tabulaciones y guardar como "página web filtrada" y nombre "index.php"</t>
  </si>
  <si>
    <t>Destino</t>
  </si>
  <si>
    <t>Prefijo</t>
  </si>
  <si>
    <t>Tareas a domicilio (precio por hora)</t>
  </si>
  <si>
    <t>Vigencia desde</t>
  </si>
  <si>
    <t>Radio</t>
  </si>
  <si>
    <t>Servicio</t>
  </si>
  <si>
    <t>Linea VIP 11</t>
  </si>
  <si>
    <t>Linea VIP 221</t>
  </si>
  <si>
    <t>Linea VIP R11</t>
  </si>
  <si>
    <t>Linea VIP R221</t>
  </si>
  <si>
    <t>Llamadas a Celulares</t>
  </si>
  <si>
    <t>ROUTER - Configuracion, instalacion en domicilio y puesta en servicio</t>
  </si>
  <si>
    <t>Direccion IP Publica Fija</t>
  </si>
  <si>
    <t>Aparato telefonico (Opcional): Ver ofertas de vitrina</t>
  </si>
  <si>
    <t>10/5 M</t>
  </si>
  <si>
    <t>LINEA VIP 55-011</t>
  </si>
  <si>
    <t>LINEA VIP 56-221</t>
  </si>
  <si>
    <t>6/3 M</t>
  </si>
  <si>
    <t>Valores en Pesos ($)</t>
  </si>
  <si>
    <t>Notas a la versión</t>
  </si>
  <si>
    <t>3.3 NO SE MODIFICA NADA RESPECTO A LA VERSION 3.2, EXCEPTO LOS CARGOS INICIALES</t>
  </si>
  <si>
    <t>3.4 Sólo se modifican las tarifas de abonos de LÍNEA VIP, y los valores de cambio de domicilio</t>
  </si>
  <si>
    <t>3.3 Agregados "cambios de domicilio"</t>
  </si>
  <si>
    <t>HOME F111</t>
  </si>
  <si>
    <t>FAST F121</t>
  </si>
  <si>
    <t>POWER F131</t>
  </si>
  <si>
    <t>150 / 15</t>
  </si>
  <si>
    <t>300 / 30</t>
  </si>
  <si>
    <t>200 M</t>
  </si>
  <si>
    <t>300 M</t>
  </si>
  <si>
    <t>4 Se asimilan a los precios de Multifibra</t>
  </si>
  <si>
    <t>SPRINT - PLANES Y SERVICIOS DISPONIBLES</t>
  </si>
  <si>
    <t>Cargo Inicial Única Vez (bonificado con débito automático en TC)</t>
  </si>
  <si>
    <t>En nuestra oficina</t>
  </si>
  <si>
    <t>ROUTER - Configuracion en oficina</t>
  </si>
  <si>
    <t>LISTA DE PRECIOS</t>
  </si>
  <si>
    <t>4.13 Se ajustan a las Res 204 y 205 / 2021 del 20 y 22/02/2021</t>
  </si>
  <si>
    <t>Banda 73 eliminada Pasados a Banda 74</t>
  </si>
  <si>
    <t>4.12 Se ajustan a las Res 1466 y 1467/2021 del 28/01/2021</t>
  </si>
  <si>
    <t>4.15 Se sube el cargo de conexión de los PBU/PMV a $ 5000.-</t>
  </si>
  <si>
    <t>4.16 Se agrega el precio de "Cableado por dispositivo" que había desaparecido de "Precios Mostrador"</t>
  </si>
  <si>
    <t>4.20 Se aplica aumento según Res 862 (no cambia el PBU) Se agrega PBU-R, se eliminan todos los descuentos, combos, etc</t>
  </si>
  <si>
    <t>SPRINT Banda F103</t>
  </si>
  <si>
    <t>SPRINT Banda F104</t>
  </si>
  <si>
    <t>4.21 Se ajustan los precios en forma selectiva. NO cambian las Cartas ni los Planes</t>
  </si>
  <si>
    <t>Res ENACOM 2187/2021 publicada el 29/12/2021, se autoriza un aumento adicional del 9.8% para los precios del servicio de Acceso a Internet a hogares, Telefonia Fija y Television para prestadores de hasta 100000 abonados, a partir del 01/01/2022.</t>
  </si>
  <si>
    <t>LOS CORPORATIVOS NO SE MODIFICAN, PORQUE YA SE HIZO PREVIAMENTE</t>
  </si>
  <si>
    <t>NO PUBLICADO EN LA WEB</t>
  </si>
  <si>
    <t>Retoques en el formato, mantiene los valores de la versión anterior</t>
  </si>
  <si>
    <t>Se aumentan los cargos de instalación únicamente. Todo lo demás queda igual</t>
  </si>
  <si>
    <t>Cambios de domicilio, se acomoda a 1/2 de los cargos de instalación respectivos</t>
  </si>
  <si>
    <t>Se reactiva las Bandas 77 y 77+TV para Barrio Arco Iris</t>
  </si>
  <si>
    <t>Aumento de precios de todos los planes excepto las promos y las PBU</t>
  </si>
  <si>
    <t>Aumentos en LINEA VIP</t>
  </si>
  <si>
    <t>Se eliminan los decimales</t>
  </si>
  <si>
    <t>Aumento de precios de todos los planes excepto las promos y las PBU (9.5% permitido por Resol Enacom</t>
  </si>
  <si>
    <t>Aumento de precios de todos los planes excepto las PBU (19.8% permitido por Resol Enacom 1754/2022 publicada el 21/09/2022</t>
  </si>
  <si>
    <t>RESIDENCIALES</t>
  </si>
  <si>
    <t>EMPRESAS</t>
  </si>
  <si>
    <t>ESPECIALES</t>
  </si>
  <si>
    <t>BANDA</t>
  </si>
  <si>
    <t xml:space="preserve">Abono Mensual </t>
  </si>
  <si>
    <t>Villa Castells + Arco Iris</t>
  </si>
  <si>
    <t>50</t>
  </si>
  <si>
    <t>75 / 10</t>
  </si>
  <si>
    <t>GAMER F141</t>
  </si>
  <si>
    <t>WORKER F151</t>
  </si>
  <si>
    <t>Aparece el "MUNDIAL 300 Unidades", aumenta Home, se reduce la TV, se eliminan 11 planes</t>
  </si>
  <si>
    <t>MUNDIAL F99 (EDICIÓN LIMITADA) SÓLO LO INFORMA VENTAS</t>
  </si>
  <si>
    <t>Se sacan los "combos" para simplificar la tabla. Se redondea TV a 1700 El F99 MUNDIAL EDICION LIMITADA LO MANEJA GUSTAVO SOLO POR AHORA</t>
  </si>
  <si>
    <t>S = Simétrico</t>
  </si>
  <si>
    <t>A = Asimétrico</t>
  </si>
  <si>
    <t>F = Fibra</t>
  </si>
  <si>
    <t>R = Radio</t>
  </si>
  <si>
    <t>Megas</t>
  </si>
  <si>
    <r>
      <t xml:space="preserve">Abono Mensual CON IVA, </t>
    </r>
    <r>
      <rPr>
        <b/>
        <sz val="12"/>
        <color indexed="10"/>
        <rFont val="Arial"/>
        <family val="2"/>
      </rPr>
      <t>ANTERIOR</t>
    </r>
  </si>
  <si>
    <r>
      <t xml:space="preserve">3.3 WoPlay Básico, </t>
    </r>
    <r>
      <rPr>
        <sz val="12"/>
        <rFont val="Arial"/>
        <family val="2"/>
      </rPr>
      <t>02/06/2020 SE CAMBIÓ, PARA BAJAR WOPLAY</t>
    </r>
  </si>
  <si>
    <t>Se aplica aumento del 9.8 % según Resolución 1754/2022, A PARTIR DEL 01/01/2023, pese a que lo permitía A PARTIR DEL 01/12/2022</t>
  </si>
  <si>
    <t>Traslado de Servicio RADIO</t>
  </si>
  <si>
    <t>Traslado de Servicio FIBRA</t>
  </si>
  <si>
    <t>Número Local</t>
  </si>
  <si>
    <t>El precio de las llamadas internacionales se expresa en U$S según el Cuadro Tarifario Internacional vigente</t>
  </si>
  <si>
    <t>Para cada abonado de fibra, se puede incorporar hasta 2 líneas VIP 11 o VIP 221, las dos iguales o una y una</t>
  </si>
  <si>
    <t>Para cada abonado de ATA se puede incorporar una línea VIP R11 o VIP R221</t>
  </si>
  <si>
    <t>Aumento en Pack Fútbol (se adelanta el precio sugerido para febrero)</t>
  </si>
  <si>
    <t>Aumento general de 4%</t>
  </si>
  <si>
    <t>Cant Abonados ANTERIOR</t>
  </si>
  <si>
    <t>Cant Abonados ACTUAL</t>
  </si>
  <si>
    <t>Aumento general de 3.5%</t>
  </si>
  <si>
    <r>
      <t xml:space="preserve">Abono Mensual CON IVA, </t>
    </r>
    <r>
      <rPr>
        <b/>
        <sz val="11"/>
        <color indexed="10"/>
        <rFont val="Arial"/>
        <family val="2"/>
      </rPr>
      <t>aumento de esta versión</t>
    </r>
  </si>
  <si>
    <t>Aumento general de 4.5%, algo más en un par de items no regulados. Se agregó actualización de valor del minuto de Línea VIP</t>
  </si>
  <si>
    <t>Se ELIMINA el servicio SISTA.TV - Corrige errores de fórmula de la 5.19</t>
  </si>
  <si>
    <t>Aumento general de 4.5%</t>
  </si>
  <si>
    <t>Aumento general de 4.5%, algo más en un par de items no regulados.</t>
  </si>
  <si>
    <t>Aumentos selectivos, entre el 4.5% y el 20 %</t>
  </si>
  <si>
    <t>Se corrigió error en el precio del Servicio TV</t>
  </si>
  <si>
    <t>Sólo se corrige el "traslado de servicio"</t>
  </si>
  <si>
    <t>Aumento de 4.5 % en la mayoría de los servicios, y en los otros un 10 o un 15%</t>
  </si>
  <si>
    <t>Reactivación del Servicio (**)</t>
  </si>
  <si>
    <t>Reconexión del Servicio (***)</t>
  </si>
  <si>
    <t>Aumentos selectivos de 10 a 25 %- Se introduce la "reactivación", y se eliminan los servicios subsidiados por la pandemia</t>
  </si>
  <si>
    <t>SPRINT Banda 77 (*)</t>
  </si>
  <si>
    <t>(*) BANDA 77 SÓLO para zona ARCO IRIS</t>
  </si>
  <si>
    <r>
      <t>(</t>
    </r>
    <r>
      <rPr>
        <b/>
        <sz val="22"/>
        <rFont val="Arial"/>
        <family val="2"/>
      </rPr>
      <t>**</t>
    </r>
    <r>
      <rPr>
        <b/>
        <sz val="18"/>
        <rFont val="Arial"/>
        <family val="2"/>
      </rPr>
      <t>)  Cliente que reactiva un servicio luego de un corte por falta de pago</t>
    </r>
  </si>
  <si>
    <t>(***) Cliente con "/corte/baja" y asistencia de baja por falta de pago, debe abonar reconexión</t>
  </si>
  <si>
    <t>Cargo Inst (bonificado si Deb Aut T/C)</t>
  </si>
  <si>
    <t>Actual</t>
  </si>
  <si>
    <t>Futuro</t>
  </si>
  <si>
    <t>AUMENTO</t>
  </si>
  <si>
    <t>Aumentos a toda la plantilla, incluso cargos de conexión</t>
  </si>
  <si>
    <t>Aumentos a toda la plantilla, entre 15 y 25%</t>
  </si>
  <si>
    <t>Aumentos del cargo inicial, aumentos en los abonos y cargos fijos (promedio 13%)</t>
  </si>
  <si>
    <t>Aumentos en los abonos (entre 10 y 15%)</t>
  </si>
  <si>
    <t>Aumentos en los abonos de 5%</t>
  </si>
  <si>
    <t>Se redondean los precios, sólo aumenta la TV</t>
  </si>
  <si>
    <t>Se agregan "PARAMOUT PLUS" y "Pack HBO 8 canales PREMIUM + HBO MAX"</t>
  </si>
  <si>
    <t>Aumentos en los abonos, entre un 4 y un 10 %. Aumentos en los cargos fijos entre 20 y 25 %</t>
  </si>
  <si>
    <t>Vigencia:</t>
  </si>
  <si>
    <t>Aumentos en los abonos, entre un 3.5 y un 10 %</t>
  </si>
  <si>
    <t>SPRINT Banda F101</t>
  </si>
  <si>
    <t>Cableado METRO ADICIONAL</t>
  </si>
  <si>
    <t>Aumentos en los abonos, entre un 3 y un 4 %. Se modifica el cableado por dispositivos</t>
  </si>
  <si>
    <t>Cableado por dispositivo HASTA 10 metros</t>
  </si>
  <si>
    <t>Aumentos en los abonos, entre un 5 y un 10 %, en la idea de no continuar con aumentos mensuales</t>
  </si>
  <si>
    <t>DGO Full</t>
  </si>
  <si>
    <t>SistaFLEX (domicilio adicional)</t>
  </si>
  <si>
    <t>ANTINA PLAY +</t>
  </si>
  <si>
    <t>Aumentos en los abonos de un 4%, se agrega SistaFLEX, AntinaTV, Dgo, y se reformula HBO</t>
  </si>
  <si>
    <t xml:space="preserve">   Pack Fútbol (Antina)</t>
  </si>
  <si>
    <t xml:space="preserve">   UNIVERSAL (DGo)</t>
  </si>
  <si>
    <t xml:space="preserve">   Pack Fútbol (DGo)</t>
  </si>
  <si>
    <t xml:space="preserve">   PARAMOUNT + (Dgo)</t>
  </si>
  <si>
    <t>Aumentos en los abonos en un promedio de 3.8 %, se discriminan los servicios asociados a Antina y a Dgo</t>
  </si>
  <si>
    <t>Aumentos en la mayoría, del 5%</t>
  </si>
  <si>
    <t>20 M</t>
  </si>
  <si>
    <t>400 M</t>
  </si>
  <si>
    <t>600 M</t>
  </si>
  <si>
    <t>Todo igual, excepto aumentos en la la parte de TV y productos relacionados</t>
  </si>
  <si>
    <t>Todo igual, excepto aumentos en DGo (promedio 2.4%) y los de Antina (HBO y Universal)</t>
  </si>
  <si>
    <t>Aumentos entre 3 y 5 % en los abonos</t>
  </si>
  <si>
    <t>Cambia precio Antina Pack Fútbl</t>
  </si>
  <si>
    <t>Aumentos variables, la mayoría del 1.9%</t>
  </si>
  <si>
    <t>Aumentos del 2% a los abonos Sprint, del 5% para la telefonía</t>
  </si>
  <si>
    <t xml:space="preserve">   Básico + Cine</t>
  </si>
  <si>
    <t>Sólo se agrega el Antina "Básico + cine" y se unifican los Fútbol de Antina y Dgo</t>
  </si>
  <si>
    <t>Se corrigió el precio de Flex</t>
  </si>
  <si>
    <t>Se empieza una rampa para levantar este valor, que está bajo</t>
  </si>
  <si>
    <t>Aumentos del 2.1 % a casi todos los abonos, y algo más para los de empresas y línea VIP</t>
  </si>
  <si>
    <t>www.sista.ar/internacional</t>
  </si>
  <si>
    <t xml:space="preserve">   Pack Fútbol (Gigared)</t>
  </si>
  <si>
    <t>Aumentos entre 2.3 % y 5 % a los abonos, algo más para los de empresas y línea VIP. Aumento del 10 % a los valores fijos</t>
  </si>
  <si>
    <t>GIGARED Básico</t>
  </si>
  <si>
    <t>Aumentos entre 2.5 % y 5 % a los abonos, algo más para los de empresas y línea VIP</t>
  </si>
  <si>
    <t>Aumentos entre 3 % y 5 % a los abonos, algo más para los de empresas y línea VIP</t>
  </si>
  <si>
    <t>Configurar Word en "Avanzadas" "Opciones Web" "Codificación" "Guardar este documento como…" poner "Cirílico (DOS)</t>
  </si>
  <si>
    <t>Sólo cambian algunos precios de Antina y Pack Fútbol</t>
  </si>
  <si>
    <t>Se actualizan los precios mayoritariamente por costo de vida, 2.9 %</t>
  </si>
  <si>
    <t>Sólo cambian algunos precios de la TV</t>
  </si>
  <si>
    <t>1000 M</t>
  </si>
  <si>
    <t>SPRINT Banda F105</t>
  </si>
  <si>
    <t>900 M</t>
  </si>
  <si>
    <t>NUEVO, A PARTIR DE ABRIL 2026</t>
  </si>
  <si>
    <t>Línea Adicional a PABXIP</t>
  </si>
  <si>
    <t>Internos adicionales a PABXIP</t>
  </si>
  <si>
    <t>(****) 1 línea + 4 internos No incluye equipos EL cargo de conexión no se bonifica por adhesión al débito automatico</t>
  </si>
  <si>
    <t>1 línea + 4 internos No incluye equipos EL cargo de conexión no se bonifica por adhesión al débito automatico</t>
  </si>
  <si>
    <t>MAX F161   (NUEVO)</t>
  </si>
  <si>
    <t>Se actualizan los precios mayoritariamente por costo de vida, 2.9 %. Se modifica FLEX. Se agrega MAX y las soluciones PABXIP. PARAMOUNT PLUS tuvo un aumento importante</t>
  </si>
  <si>
    <t>Copiar rango B5:C34, pegarlo en Word, guardarlo como "página web filtrada" al resultante en htm renombrarlo como "index.php" (así en minúsculas)
Revisar tamaño de tabla, y si hace falta achicar la fuente del texto</t>
  </si>
  <si>
    <t>Aumentos por IPC 3.4 % y algunos selectivamente algo más</t>
  </si>
  <si>
    <t>Destino Local (solo 221)</t>
  </si>
  <si>
    <t>Destino AMBA y Nacional</t>
  </si>
  <si>
    <t>Aumentos por IPC 2.6 % y algunos selectivamente algo más - Se aumentan los valores de ÚNICA VEZ</t>
  </si>
  <si>
    <t>Copiar rango A1:J18, pegarlo en Word, guardarlo como "página web filtrada" al resultante en htm renombrarlo como "index.php" (así en minúsculas). Configurar Diseño de Página "HORIZONTAL"
Revisar tamaño de tabla, y si hace falta achicar la fuente del texto.
Al guardar, aparece una ventana, responder que "sí"</t>
  </si>
  <si>
    <r>
      <t xml:space="preserve">   DGo Fútbol total (Full + Dsports + Amazon + Fútbol) </t>
    </r>
    <r>
      <rPr>
        <b/>
        <sz val="12"/>
        <color rgb="FFFF0000"/>
        <rFont val="Arial"/>
        <family val="2"/>
      </rPr>
      <t>NUEVO</t>
    </r>
  </si>
  <si>
    <t>Sólo cambian algunos precios de la TV (Gigared)</t>
  </si>
  <si>
    <t>Aumentan los precios de DGo y Antina. Cambio de productos DGo. Se actualiza "Internacional"</t>
  </si>
  <si>
    <t>PABXIP VIRTUAL.BASICA (****)</t>
  </si>
  <si>
    <t>Precio del minuto de llamadas Internacionales</t>
  </si>
  <si>
    <t>Vigencia a partir del:</t>
  </si>
  <si>
    <t>Fijo / Móvil</t>
  </si>
  <si>
    <t>Precio [U$S]</t>
  </si>
  <si>
    <t>0093</t>
  </si>
  <si>
    <t>AFGANISTAN</t>
  </si>
  <si>
    <t>Fijo</t>
  </si>
  <si>
    <t>009370</t>
  </si>
  <si>
    <t>Movil</t>
  </si>
  <si>
    <t>001907</t>
  </si>
  <si>
    <t>ALASKA</t>
  </si>
  <si>
    <t>001907209</t>
  </si>
  <si>
    <t>001907223</t>
  </si>
  <si>
    <t>001907227</t>
  </si>
  <si>
    <t>001907229</t>
  </si>
  <si>
    <t>001907230</t>
  </si>
  <si>
    <t>001907232</t>
  </si>
  <si>
    <t>001907240</t>
  </si>
  <si>
    <t>001907242</t>
  </si>
  <si>
    <t>001907244</t>
  </si>
  <si>
    <t>001907250</t>
  </si>
  <si>
    <t>001907252</t>
  </si>
  <si>
    <t>001907253</t>
  </si>
  <si>
    <t>001907254</t>
  </si>
  <si>
    <t>001907255</t>
  </si>
  <si>
    <t>001907259</t>
  </si>
  <si>
    <t>001907292</t>
  </si>
  <si>
    <t>001907299</t>
  </si>
  <si>
    <t>001907301</t>
  </si>
  <si>
    <t>001907317</t>
  </si>
  <si>
    <t>001907320</t>
  </si>
  <si>
    <t>001907321</t>
  </si>
  <si>
    <t>001907322</t>
  </si>
  <si>
    <t>001907350</t>
  </si>
  <si>
    <t>001907351</t>
  </si>
  <si>
    <t>001907354</t>
  </si>
  <si>
    <t>001907355</t>
  </si>
  <si>
    <t>001907360</t>
  </si>
  <si>
    <t>001907362</t>
  </si>
  <si>
    <t>001907367</t>
  </si>
  <si>
    <t>001907378</t>
  </si>
  <si>
    <t>001907388</t>
  </si>
  <si>
    <t>001907391</t>
  </si>
  <si>
    <t>001907394</t>
  </si>
  <si>
    <t>001907398</t>
  </si>
  <si>
    <t>001907399</t>
  </si>
  <si>
    <t>001907425</t>
  </si>
  <si>
    <t>001907429</t>
  </si>
  <si>
    <t>001907430</t>
  </si>
  <si>
    <t>001907439</t>
  </si>
  <si>
    <t>001907440</t>
  </si>
  <si>
    <t>001907441</t>
  </si>
  <si>
    <t>001907448</t>
  </si>
  <si>
    <t>001907460</t>
  </si>
  <si>
    <t>001907491</t>
  </si>
  <si>
    <t>001907528</t>
  </si>
  <si>
    <t>001907529</t>
  </si>
  <si>
    <t>001907575</t>
  </si>
  <si>
    <t>001907598</t>
  </si>
  <si>
    <t>001907599</t>
  </si>
  <si>
    <t>001907654</t>
  </si>
  <si>
    <t>001907687</t>
  </si>
  <si>
    <t>001907720</t>
  </si>
  <si>
    <t>001907723</t>
  </si>
  <si>
    <t>001907730</t>
  </si>
  <si>
    <t>001907738</t>
  </si>
  <si>
    <t>001907748</t>
  </si>
  <si>
    <t>001907752</t>
  </si>
  <si>
    <t>001907830</t>
  </si>
  <si>
    <t>001907831</t>
  </si>
  <si>
    <t>001907841</t>
  </si>
  <si>
    <t>001907863</t>
  </si>
  <si>
    <t>001907878</t>
  </si>
  <si>
    <t>001907943</t>
  </si>
  <si>
    <t>00355</t>
  </si>
  <si>
    <t>ALBANIA</t>
  </si>
  <si>
    <t>0035538</t>
  </si>
  <si>
    <t>0049</t>
  </si>
  <si>
    <t>ALEMANIA</t>
  </si>
  <si>
    <t>00498822830</t>
  </si>
  <si>
    <t>ALEMANIA  FIJO OTROS</t>
  </si>
  <si>
    <t>0049882288</t>
  </si>
  <si>
    <t>0049115</t>
  </si>
  <si>
    <t>ALEMANIA CIVIL SERVICE</t>
  </si>
  <si>
    <t>00491</t>
  </si>
  <si>
    <t>ALEMANIA R.F.</t>
  </si>
  <si>
    <t>0049150</t>
  </si>
  <si>
    <t>0049151</t>
  </si>
  <si>
    <t>0049152</t>
  </si>
  <si>
    <t>0049155</t>
  </si>
  <si>
    <t>0049156</t>
  </si>
  <si>
    <t>0049157</t>
  </si>
  <si>
    <t>0049159</t>
  </si>
  <si>
    <t>004916</t>
  </si>
  <si>
    <t>004917</t>
  </si>
  <si>
    <t>0049700</t>
  </si>
  <si>
    <t>0049116</t>
  </si>
  <si>
    <t>ALEMANIA-MÓVIL NÚMEROS ESP</t>
  </si>
  <si>
    <t>0049118</t>
  </si>
  <si>
    <t>004912</t>
  </si>
  <si>
    <t>004913</t>
  </si>
  <si>
    <t>004918</t>
  </si>
  <si>
    <t>0049191</t>
  </si>
  <si>
    <t>0049192</t>
  </si>
  <si>
    <t>0049193</t>
  </si>
  <si>
    <t>0049194</t>
  </si>
  <si>
    <t>0049701</t>
  </si>
  <si>
    <t>004932</t>
  </si>
  <si>
    <t>ALEMANIA-VOIP</t>
  </si>
  <si>
    <t>00376</t>
  </si>
  <si>
    <t>ANDORRA</t>
  </si>
  <si>
    <t>003763</t>
  </si>
  <si>
    <t>003764</t>
  </si>
  <si>
    <t>003766</t>
  </si>
  <si>
    <t>00244</t>
  </si>
  <si>
    <t>ANGOLA</t>
  </si>
  <si>
    <t>0024491</t>
  </si>
  <si>
    <t>00244950</t>
  </si>
  <si>
    <t>001264</t>
  </si>
  <si>
    <t>ANGUILA IS.</t>
  </si>
  <si>
    <t>001268</t>
  </si>
  <si>
    <t>ANTIGUA IS.</t>
  </si>
  <si>
    <t>001268464</t>
  </si>
  <si>
    <t>001268723</t>
  </si>
  <si>
    <t>001268724</t>
  </si>
  <si>
    <t>001268727</t>
  </si>
  <si>
    <t>001268728</t>
  </si>
  <si>
    <t>001268729</t>
  </si>
  <si>
    <t>001268773</t>
  </si>
  <si>
    <t>00599</t>
  </si>
  <si>
    <t>ANTS.HOLANDESAS</t>
  </si>
  <si>
    <t>005993180</t>
  </si>
  <si>
    <t>005993181</t>
  </si>
  <si>
    <t>005993184</t>
  </si>
  <si>
    <t>005994160</t>
  </si>
  <si>
    <t>005994161</t>
  </si>
  <si>
    <t>005994165</t>
  </si>
  <si>
    <t>005994166</t>
  </si>
  <si>
    <t>005994167</t>
  </si>
  <si>
    <t>00599520</t>
  </si>
  <si>
    <t>00599521</t>
  </si>
  <si>
    <t>00599522</t>
  </si>
  <si>
    <t>00599523</t>
  </si>
  <si>
    <t>00599524</t>
  </si>
  <si>
    <t>00599526</t>
  </si>
  <si>
    <t>00599527</t>
  </si>
  <si>
    <t>00599550</t>
  </si>
  <si>
    <t>00599551</t>
  </si>
  <si>
    <t>00599552</t>
  </si>
  <si>
    <t>00599553</t>
  </si>
  <si>
    <t>00599554</t>
  </si>
  <si>
    <t>00599555</t>
  </si>
  <si>
    <t>00599556</t>
  </si>
  <si>
    <t>00599557</t>
  </si>
  <si>
    <t>00599558</t>
  </si>
  <si>
    <t>00599559</t>
  </si>
  <si>
    <t>00599580</t>
  </si>
  <si>
    <t>00599581</t>
  </si>
  <si>
    <t>00599586</t>
  </si>
  <si>
    <t>00599599</t>
  </si>
  <si>
    <t>005996</t>
  </si>
  <si>
    <t>00599700</t>
  </si>
  <si>
    <t>00599701</t>
  </si>
  <si>
    <t>0059978</t>
  </si>
  <si>
    <t>0059979</t>
  </si>
  <si>
    <t>00599951</t>
  </si>
  <si>
    <t>00599952</t>
  </si>
  <si>
    <t>00599954</t>
  </si>
  <si>
    <t>00599956</t>
  </si>
  <si>
    <t>0059996</t>
  </si>
  <si>
    <t>005999690</t>
  </si>
  <si>
    <t>005999695</t>
  </si>
  <si>
    <t>005999696</t>
  </si>
  <si>
    <t>00966</t>
  </si>
  <si>
    <t>ARABIA SAUDITA</t>
  </si>
  <si>
    <t>009665</t>
  </si>
  <si>
    <t>00213</t>
  </si>
  <si>
    <t>ARGELIA</t>
  </si>
  <si>
    <t>0021361</t>
  </si>
  <si>
    <t>002137</t>
  </si>
  <si>
    <t>0021398</t>
  </si>
  <si>
    <t>0021399</t>
  </si>
  <si>
    <t>00374</t>
  </si>
  <si>
    <t>ARMENIA</t>
  </si>
  <si>
    <t>0037477</t>
  </si>
  <si>
    <t>003749</t>
  </si>
  <si>
    <t>00297</t>
  </si>
  <si>
    <t>ARUBA</t>
  </si>
  <si>
    <t>0029756</t>
  </si>
  <si>
    <t>0029759</t>
  </si>
  <si>
    <t>0029773</t>
  </si>
  <si>
    <t>0029774</t>
  </si>
  <si>
    <t>0029796</t>
  </si>
  <si>
    <t>0029799</t>
  </si>
  <si>
    <t>00247</t>
  </si>
  <si>
    <t>ASCENCION IS.</t>
  </si>
  <si>
    <t>0061</t>
  </si>
  <si>
    <t>AUSTRALIA</t>
  </si>
  <si>
    <t>00611</t>
  </si>
  <si>
    <t>006112</t>
  </si>
  <si>
    <t>006113</t>
  </si>
  <si>
    <t>006114</t>
  </si>
  <si>
    <t>006116</t>
  </si>
  <si>
    <t>006118</t>
  </si>
  <si>
    <t>006119</t>
  </si>
  <si>
    <t>00614</t>
  </si>
  <si>
    <t>006140</t>
  </si>
  <si>
    <t>006141</t>
  </si>
  <si>
    <t>006142</t>
  </si>
  <si>
    <t>006143</t>
  </si>
  <si>
    <t>006144</t>
  </si>
  <si>
    <t>006150</t>
  </si>
  <si>
    <t>006114331</t>
  </si>
  <si>
    <t>AUSTRALIA-MÓVIL SATELITAL</t>
  </si>
  <si>
    <t>0061145</t>
  </si>
  <si>
    <t>0061147</t>
  </si>
  <si>
    <t>0043</t>
  </si>
  <si>
    <t>AUSTRIA</t>
  </si>
  <si>
    <t>00436</t>
  </si>
  <si>
    <t>0043650</t>
  </si>
  <si>
    <t>0043663</t>
  </si>
  <si>
    <t>0043664</t>
  </si>
  <si>
    <t>0043666</t>
  </si>
  <si>
    <t>0043669</t>
  </si>
  <si>
    <t>0043676</t>
  </si>
  <si>
    <t>0043678</t>
  </si>
  <si>
    <t>0043686</t>
  </si>
  <si>
    <t>0043688</t>
  </si>
  <si>
    <t>0043699</t>
  </si>
  <si>
    <t>0043711</t>
  </si>
  <si>
    <t>0043720</t>
  </si>
  <si>
    <t>0043730</t>
  </si>
  <si>
    <t>0043740</t>
  </si>
  <si>
    <t>0043780</t>
  </si>
  <si>
    <t>AUSTRIA SERV ESPECIALES</t>
  </si>
  <si>
    <t>0043810</t>
  </si>
  <si>
    <t>0043820</t>
  </si>
  <si>
    <t>00994</t>
  </si>
  <si>
    <t>AZERBAIJAN</t>
  </si>
  <si>
    <t>0099444</t>
  </si>
  <si>
    <t>0099450</t>
  </si>
  <si>
    <t>0099455</t>
  </si>
  <si>
    <t>00351291</t>
  </si>
  <si>
    <t>AZORES-MADEIRA</t>
  </si>
  <si>
    <t>00351292</t>
  </si>
  <si>
    <t>00351295</t>
  </si>
  <si>
    <t>00351296</t>
  </si>
  <si>
    <t>001242</t>
  </si>
  <si>
    <t>BAHAMAS IS.</t>
  </si>
  <si>
    <t>001242357</t>
  </si>
  <si>
    <t>BAHAMAS MOVIL</t>
  </si>
  <si>
    <t>001242359</t>
  </si>
  <si>
    <t>001242427</t>
  </si>
  <si>
    <t>001242457</t>
  </si>
  <si>
    <t>001242477</t>
  </si>
  <si>
    <t>001242557</t>
  </si>
  <si>
    <t>00973</t>
  </si>
  <si>
    <t>BAHRAIN</t>
  </si>
  <si>
    <t>0097336</t>
  </si>
  <si>
    <t>0097339</t>
  </si>
  <si>
    <t>00973902</t>
  </si>
  <si>
    <t>00973903</t>
  </si>
  <si>
    <t>00973904</t>
  </si>
  <si>
    <t>00973905</t>
  </si>
  <si>
    <t>00973906</t>
  </si>
  <si>
    <t>00973907</t>
  </si>
  <si>
    <t>00973908</t>
  </si>
  <si>
    <t>00973909</t>
  </si>
  <si>
    <t>00973912</t>
  </si>
  <si>
    <t>00973913</t>
  </si>
  <si>
    <t>00973914</t>
  </si>
  <si>
    <t>00973915</t>
  </si>
  <si>
    <t>00973916</t>
  </si>
  <si>
    <t>00973917</t>
  </si>
  <si>
    <t>00973918</t>
  </si>
  <si>
    <t>00973919</t>
  </si>
  <si>
    <t>0097392</t>
  </si>
  <si>
    <t>00973933</t>
  </si>
  <si>
    <t>00973940</t>
  </si>
  <si>
    <t>00973941</t>
  </si>
  <si>
    <t>00973942</t>
  </si>
  <si>
    <t>00973943</t>
  </si>
  <si>
    <t>00973944</t>
  </si>
  <si>
    <t>00973945</t>
  </si>
  <si>
    <t>00973946</t>
  </si>
  <si>
    <t>00973947</t>
  </si>
  <si>
    <t>00973952</t>
  </si>
  <si>
    <t>00973953</t>
  </si>
  <si>
    <t>00973954</t>
  </si>
  <si>
    <t>00973955</t>
  </si>
  <si>
    <t>0097396</t>
  </si>
  <si>
    <t>0097397</t>
  </si>
  <si>
    <t>0097398</t>
  </si>
  <si>
    <t>00880</t>
  </si>
  <si>
    <t>BANGLADESH</t>
  </si>
  <si>
    <t>008801</t>
  </si>
  <si>
    <t>001246</t>
  </si>
  <si>
    <t>BARBADOS IS.</t>
  </si>
  <si>
    <t>001246230</t>
  </si>
  <si>
    <t>001246231</t>
  </si>
  <si>
    <t>001246232</t>
  </si>
  <si>
    <t>001246233</t>
  </si>
  <si>
    <t>001246234</t>
  </si>
  <si>
    <t>001246235</t>
  </si>
  <si>
    <t>001246236</t>
  </si>
  <si>
    <t>001246237</t>
  </si>
  <si>
    <t>001246253</t>
  </si>
  <si>
    <t>00375</t>
  </si>
  <si>
    <t>BELARUS</t>
  </si>
  <si>
    <t>0037529</t>
  </si>
  <si>
    <t>0032</t>
  </si>
  <si>
    <t>BELGICA</t>
  </si>
  <si>
    <t>00324</t>
  </si>
  <si>
    <t>003270</t>
  </si>
  <si>
    <t>BELGICA SPECIAL ACCESS</t>
  </si>
  <si>
    <t>003248</t>
  </si>
  <si>
    <t>BELGICA-MOVIL BASE</t>
  </si>
  <si>
    <t>BELGICA-MOVIL OTROS</t>
  </si>
  <si>
    <t>00501</t>
  </si>
  <si>
    <t>BELICE</t>
  </si>
  <si>
    <t>00501600</t>
  </si>
  <si>
    <t>00501601</t>
  </si>
  <si>
    <t>00501602</t>
  </si>
  <si>
    <t>00501603</t>
  </si>
  <si>
    <t>00501604</t>
  </si>
  <si>
    <t>00501605</t>
  </si>
  <si>
    <t>00501606</t>
  </si>
  <si>
    <t>00501607</t>
  </si>
  <si>
    <t>00501608</t>
  </si>
  <si>
    <t>00501609</t>
  </si>
  <si>
    <t>00501610</t>
  </si>
  <si>
    <t>00501611</t>
  </si>
  <si>
    <t>00501612</t>
  </si>
  <si>
    <t>00501614</t>
  </si>
  <si>
    <t>00501615</t>
  </si>
  <si>
    <t>00501620</t>
  </si>
  <si>
    <t>00501621</t>
  </si>
  <si>
    <t>00501622</t>
  </si>
  <si>
    <t>00501623</t>
  </si>
  <si>
    <t>00501624</t>
  </si>
  <si>
    <t>00501625</t>
  </si>
  <si>
    <t>00229</t>
  </si>
  <si>
    <t>BENIN R.</t>
  </si>
  <si>
    <t>001441</t>
  </si>
  <si>
    <t>BERMUDAS IS.</t>
  </si>
  <si>
    <t>0087078</t>
  </si>
  <si>
    <t>BGAN HSD (ISDN)</t>
  </si>
  <si>
    <t>0095</t>
  </si>
  <si>
    <t>BIRMANIA/MYANMAR</t>
  </si>
  <si>
    <t>009592</t>
  </si>
  <si>
    <t>009593</t>
  </si>
  <si>
    <t>009596</t>
  </si>
  <si>
    <t>009597</t>
  </si>
  <si>
    <t>00959803</t>
  </si>
  <si>
    <t>00959906</t>
  </si>
  <si>
    <t>00959992</t>
  </si>
  <si>
    <t>00591</t>
  </si>
  <si>
    <t>BOLIVIA</t>
  </si>
  <si>
    <t>005917</t>
  </si>
  <si>
    <t>00387</t>
  </si>
  <si>
    <t>BOSNIA/HERZEG.</t>
  </si>
  <si>
    <t>0038761</t>
  </si>
  <si>
    <t>0038762</t>
  </si>
  <si>
    <t>0038763</t>
  </si>
  <si>
    <t>0038765</t>
  </si>
  <si>
    <t>0038766</t>
  </si>
  <si>
    <t>00267</t>
  </si>
  <si>
    <t>BOTSWANA</t>
  </si>
  <si>
    <t>002677</t>
  </si>
  <si>
    <t>0055</t>
  </si>
  <si>
    <t>BRASIL</t>
  </si>
  <si>
    <t>0055117</t>
  </si>
  <si>
    <t>00551171</t>
  </si>
  <si>
    <t>00551177</t>
  </si>
  <si>
    <t>00551178</t>
  </si>
  <si>
    <t>0055118</t>
  </si>
  <si>
    <t>00551181</t>
  </si>
  <si>
    <t>0055119</t>
  </si>
  <si>
    <t>0055127</t>
  </si>
  <si>
    <t>00551278</t>
  </si>
  <si>
    <t>0055128</t>
  </si>
  <si>
    <t>00551281</t>
  </si>
  <si>
    <t>0055129</t>
  </si>
  <si>
    <t>0055137</t>
  </si>
  <si>
    <t>00551378</t>
  </si>
  <si>
    <t>0055138</t>
  </si>
  <si>
    <t>00551381</t>
  </si>
  <si>
    <t>0055139</t>
  </si>
  <si>
    <t>0055147</t>
  </si>
  <si>
    <t>0055148</t>
  </si>
  <si>
    <t>00551481</t>
  </si>
  <si>
    <t>0055149</t>
  </si>
  <si>
    <t>0055157</t>
  </si>
  <si>
    <t>0055158</t>
  </si>
  <si>
    <t>00551581</t>
  </si>
  <si>
    <t>0055159</t>
  </si>
  <si>
    <t>0055167</t>
  </si>
  <si>
    <t>0055168</t>
  </si>
  <si>
    <t>00551681</t>
  </si>
  <si>
    <t>0055169</t>
  </si>
  <si>
    <t>0055177</t>
  </si>
  <si>
    <t>0055178</t>
  </si>
  <si>
    <t>00551781</t>
  </si>
  <si>
    <t>0055179</t>
  </si>
  <si>
    <t>0055187</t>
  </si>
  <si>
    <t>0055188</t>
  </si>
  <si>
    <t>00551881</t>
  </si>
  <si>
    <t>0055189</t>
  </si>
  <si>
    <t>0055197</t>
  </si>
  <si>
    <t>00551978</t>
  </si>
  <si>
    <t>0055198</t>
  </si>
  <si>
    <t>00551981</t>
  </si>
  <si>
    <t>0055199</t>
  </si>
  <si>
    <t>0055217</t>
  </si>
  <si>
    <t>00552178</t>
  </si>
  <si>
    <t>0055218</t>
  </si>
  <si>
    <t>00552181</t>
  </si>
  <si>
    <t>00552188</t>
  </si>
  <si>
    <t>00552189</t>
  </si>
  <si>
    <t>0055219</t>
  </si>
  <si>
    <t>0055227</t>
  </si>
  <si>
    <t>0055228</t>
  </si>
  <si>
    <t>00552281</t>
  </si>
  <si>
    <t>00552288</t>
  </si>
  <si>
    <t>00552289</t>
  </si>
  <si>
    <t>0055229</t>
  </si>
  <si>
    <t>0055247</t>
  </si>
  <si>
    <t>0055248</t>
  </si>
  <si>
    <t>00552481</t>
  </si>
  <si>
    <t>00552488</t>
  </si>
  <si>
    <t>00552489</t>
  </si>
  <si>
    <t>0055249</t>
  </si>
  <si>
    <t>0055277</t>
  </si>
  <si>
    <t>0055278</t>
  </si>
  <si>
    <t>00552781</t>
  </si>
  <si>
    <t>00552788</t>
  </si>
  <si>
    <t>00552789</t>
  </si>
  <si>
    <t>0055279</t>
  </si>
  <si>
    <t>0055287</t>
  </si>
  <si>
    <t>0055288</t>
  </si>
  <si>
    <t>00552888</t>
  </si>
  <si>
    <t>0055289</t>
  </si>
  <si>
    <t>0055317</t>
  </si>
  <si>
    <t>00553178</t>
  </si>
  <si>
    <t>0055318</t>
  </si>
  <si>
    <t>00553188</t>
  </si>
  <si>
    <t>0055319</t>
  </si>
  <si>
    <t>0055327</t>
  </si>
  <si>
    <t>0055328</t>
  </si>
  <si>
    <t>00553288</t>
  </si>
  <si>
    <t>0055329</t>
  </si>
  <si>
    <t>0055337</t>
  </si>
  <si>
    <t>00553388</t>
  </si>
  <si>
    <t>0055339</t>
  </si>
  <si>
    <t>0055347</t>
  </si>
  <si>
    <t>0055348</t>
  </si>
  <si>
    <t>00553488</t>
  </si>
  <si>
    <t>0055349</t>
  </si>
  <si>
    <t>0055357</t>
  </si>
  <si>
    <t>0055358</t>
  </si>
  <si>
    <t>00553588</t>
  </si>
  <si>
    <t>0055359</t>
  </si>
  <si>
    <t>0055377</t>
  </si>
  <si>
    <t>0055378</t>
  </si>
  <si>
    <t>00553788</t>
  </si>
  <si>
    <t>0055379</t>
  </si>
  <si>
    <t>0055387</t>
  </si>
  <si>
    <t>0055388</t>
  </si>
  <si>
    <t>00553888</t>
  </si>
  <si>
    <t>0055389</t>
  </si>
  <si>
    <t>0055417</t>
  </si>
  <si>
    <t>00554178</t>
  </si>
  <si>
    <t>0055418</t>
  </si>
  <si>
    <t>0055419</t>
  </si>
  <si>
    <t>0055427</t>
  </si>
  <si>
    <t>0055428</t>
  </si>
  <si>
    <t>0055429</t>
  </si>
  <si>
    <t>0055437</t>
  </si>
  <si>
    <t>0055438</t>
  </si>
  <si>
    <t>0055439</t>
  </si>
  <si>
    <t>0055447</t>
  </si>
  <si>
    <t>0055448</t>
  </si>
  <si>
    <t>0055449</t>
  </si>
  <si>
    <t>0055457</t>
  </si>
  <si>
    <t>0055458</t>
  </si>
  <si>
    <t>0055459</t>
  </si>
  <si>
    <t>0055467</t>
  </si>
  <si>
    <t>0055468</t>
  </si>
  <si>
    <t>0055469</t>
  </si>
  <si>
    <t>0055477</t>
  </si>
  <si>
    <t>0055478</t>
  </si>
  <si>
    <t>0055479</t>
  </si>
  <si>
    <t>0055487</t>
  </si>
  <si>
    <t>0055488</t>
  </si>
  <si>
    <t>0055489</t>
  </si>
  <si>
    <t>0055497</t>
  </si>
  <si>
    <t>0055498</t>
  </si>
  <si>
    <t>0055499</t>
  </si>
  <si>
    <t>0055517</t>
  </si>
  <si>
    <t>00555178</t>
  </si>
  <si>
    <t>0055518</t>
  </si>
  <si>
    <t>00555181</t>
  </si>
  <si>
    <t>00555189</t>
  </si>
  <si>
    <t>0055519</t>
  </si>
  <si>
    <t>0055537</t>
  </si>
  <si>
    <t>0055538</t>
  </si>
  <si>
    <t>00555381</t>
  </si>
  <si>
    <t>00555389</t>
  </si>
  <si>
    <t>0055539</t>
  </si>
  <si>
    <t>0055547</t>
  </si>
  <si>
    <t>0055548</t>
  </si>
  <si>
    <t>00555481</t>
  </si>
  <si>
    <t>00555489</t>
  </si>
  <si>
    <t>0055549</t>
  </si>
  <si>
    <t>0055557</t>
  </si>
  <si>
    <t>0055558</t>
  </si>
  <si>
    <t>00555581</t>
  </si>
  <si>
    <t>00555589</t>
  </si>
  <si>
    <t>0055559</t>
  </si>
  <si>
    <t>0055587</t>
  </si>
  <si>
    <t>0055617</t>
  </si>
  <si>
    <t>00556178</t>
  </si>
  <si>
    <t>0055618</t>
  </si>
  <si>
    <t>00556181</t>
  </si>
  <si>
    <t>00556189</t>
  </si>
  <si>
    <t>0055619</t>
  </si>
  <si>
    <t>0055627</t>
  </si>
  <si>
    <t>0055628</t>
  </si>
  <si>
    <t>00556281</t>
  </si>
  <si>
    <t>00556289</t>
  </si>
  <si>
    <t>0055629</t>
  </si>
  <si>
    <t>0055637</t>
  </si>
  <si>
    <t>0055638</t>
  </si>
  <si>
    <t>00556381</t>
  </si>
  <si>
    <t>00556389</t>
  </si>
  <si>
    <t>0055639</t>
  </si>
  <si>
    <t>0055647</t>
  </si>
  <si>
    <t>0055648</t>
  </si>
  <si>
    <t>00556481</t>
  </si>
  <si>
    <t>00556489</t>
  </si>
  <si>
    <t>0055649</t>
  </si>
  <si>
    <t>0055657</t>
  </si>
  <si>
    <t>0055658</t>
  </si>
  <si>
    <t>00556581</t>
  </si>
  <si>
    <t>00556589</t>
  </si>
  <si>
    <t>0055659</t>
  </si>
  <si>
    <t>0055667</t>
  </si>
  <si>
    <t>0055668</t>
  </si>
  <si>
    <t>00556681</t>
  </si>
  <si>
    <t>00556689</t>
  </si>
  <si>
    <t>0055669</t>
  </si>
  <si>
    <t>0055677</t>
  </si>
  <si>
    <t>0055678</t>
  </si>
  <si>
    <t>00556781</t>
  </si>
  <si>
    <t>00556789</t>
  </si>
  <si>
    <t>0055679</t>
  </si>
  <si>
    <t>0055687</t>
  </si>
  <si>
    <t>0055688</t>
  </si>
  <si>
    <t>00556881</t>
  </si>
  <si>
    <t>00556889</t>
  </si>
  <si>
    <t>0055689</t>
  </si>
  <si>
    <t>0055697</t>
  </si>
  <si>
    <t>0055698</t>
  </si>
  <si>
    <t>00556981</t>
  </si>
  <si>
    <t>00556989</t>
  </si>
  <si>
    <t>0055699</t>
  </si>
  <si>
    <t>0055717</t>
  </si>
  <si>
    <t>0055718</t>
  </si>
  <si>
    <t>00557188</t>
  </si>
  <si>
    <t>0055719</t>
  </si>
  <si>
    <t>0055737</t>
  </si>
  <si>
    <t>0055738</t>
  </si>
  <si>
    <t>00557388</t>
  </si>
  <si>
    <t>0055739</t>
  </si>
  <si>
    <t>0055747</t>
  </si>
  <si>
    <t>0055748</t>
  </si>
  <si>
    <t>00557488</t>
  </si>
  <si>
    <t>0055749</t>
  </si>
  <si>
    <t>0055757</t>
  </si>
  <si>
    <t>0055758</t>
  </si>
  <si>
    <t>00557588</t>
  </si>
  <si>
    <t>0055759</t>
  </si>
  <si>
    <t>0055777</t>
  </si>
  <si>
    <t>0055778</t>
  </si>
  <si>
    <t>00557788</t>
  </si>
  <si>
    <t>0055779</t>
  </si>
  <si>
    <t>0055788</t>
  </si>
  <si>
    <t>0055789</t>
  </si>
  <si>
    <t>0055797</t>
  </si>
  <si>
    <t>0055798</t>
  </si>
  <si>
    <t>00557988</t>
  </si>
  <si>
    <t>0055799</t>
  </si>
  <si>
    <t>0055817</t>
  </si>
  <si>
    <t>0055818</t>
  </si>
  <si>
    <t>00558188</t>
  </si>
  <si>
    <t>0055819</t>
  </si>
  <si>
    <t>0055827</t>
  </si>
  <si>
    <t>0055828</t>
  </si>
  <si>
    <t>00558288</t>
  </si>
  <si>
    <t>0055829</t>
  </si>
  <si>
    <t>0055837</t>
  </si>
  <si>
    <t>0055838</t>
  </si>
  <si>
    <t>00558388</t>
  </si>
  <si>
    <t>0055839</t>
  </si>
  <si>
    <t>0055847</t>
  </si>
  <si>
    <t>0055848</t>
  </si>
  <si>
    <t>00558488</t>
  </si>
  <si>
    <t>0055849</t>
  </si>
  <si>
    <t>0055857</t>
  </si>
  <si>
    <t>0055858</t>
  </si>
  <si>
    <t>00558588</t>
  </si>
  <si>
    <t>0055859</t>
  </si>
  <si>
    <t>0055867</t>
  </si>
  <si>
    <t>0055868</t>
  </si>
  <si>
    <t>00558688</t>
  </si>
  <si>
    <t>0055869</t>
  </si>
  <si>
    <t>0055877</t>
  </si>
  <si>
    <t>0055878</t>
  </si>
  <si>
    <t>00558788</t>
  </si>
  <si>
    <t>0055879</t>
  </si>
  <si>
    <t>0055887</t>
  </si>
  <si>
    <t>0055888</t>
  </si>
  <si>
    <t>00558888</t>
  </si>
  <si>
    <t>0055889</t>
  </si>
  <si>
    <t>0055897</t>
  </si>
  <si>
    <t>0055898</t>
  </si>
  <si>
    <t>00558988</t>
  </si>
  <si>
    <t>0055899</t>
  </si>
  <si>
    <t>0055917</t>
  </si>
  <si>
    <t>0055918</t>
  </si>
  <si>
    <t>00559181</t>
  </si>
  <si>
    <t>00559188</t>
  </si>
  <si>
    <t>00559189</t>
  </si>
  <si>
    <t>0055919</t>
  </si>
  <si>
    <t>0055927</t>
  </si>
  <si>
    <t>0055928</t>
  </si>
  <si>
    <t>00559281</t>
  </si>
  <si>
    <t>00559288</t>
  </si>
  <si>
    <t>00559289</t>
  </si>
  <si>
    <t>0055929</t>
  </si>
  <si>
    <t>0055937</t>
  </si>
  <si>
    <t>0055938</t>
  </si>
  <si>
    <t>00559381</t>
  </si>
  <si>
    <t>00559388</t>
  </si>
  <si>
    <t>00559389</t>
  </si>
  <si>
    <t>0055939</t>
  </si>
  <si>
    <t>0055947</t>
  </si>
  <si>
    <t>0055948</t>
  </si>
  <si>
    <t>00559481</t>
  </si>
  <si>
    <t>00559488</t>
  </si>
  <si>
    <t>00559489</t>
  </si>
  <si>
    <t>0055949</t>
  </si>
  <si>
    <t>0055957</t>
  </si>
  <si>
    <t>0055958</t>
  </si>
  <si>
    <t>00559581</t>
  </si>
  <si>
    <t>00559588</t>
  </si>
  <si>
    <t>00559589</t>
  </si>
  <si>
    <t>0055959</t>
  </si>
  <si>
    <t>0055967</t>
  </si>
  <si>
    <t>0055968</t>
  </si>
  <si>
    <t>00559681</t>
  </si>
  <si>
    <t>00559688</t>
  </si>
  <si>
    <t>00559689</t>
  </si>
  <si>
    <t>0055969</t>
  </si>
  <si>
    <t>0055977</t>
  </si>
  <si>
    <t>0055978</t>
  </si>
  <si>
    <t>00559788</t>
  </si>
  <si>
    <t>0055979</t>
  </si>
  <si>
    <t>0055987</t>
  </si>
  <si>
    <t>0055988</t>
  </si>
  <si>
    <t>00559881</t>
  </si>
  <si>
    <t>00559888</t>
  </si>
  <si>
    <t>00559889</t>
  </si>
  <si>
    <t>0055989</t>
  </si>
  <si>
    <t>0055997</t>
  </si>
  <si>
    <t>0055998</t>
  </si>
  <si>
    <t>00559981</t>
  </si>
  <si>
    <t>00559988</t>
  </si>
  <si>
    <t>00559989</t>
  </si>
  <si>
    <t>0055999</t>
  </si>
  <si>
    <t>005521</t>
  </si>
  <si>
    <t>BRASIL - RIO DE JANEIRO</t>
  </si>
  <si>
    <t>005511</t>
  </si>
  <si>
    <t>BRASIL - SAN PABLO</t>
  </si>
  <si>
    <t>00673</t>
  </si>
  <si>
    <t>BRUNEI</t>
  </si>
  <si>
    <t>006738</t>
  </si>
  <si>
    <t>00359</t>
  </si>
  <si>
    <t>BULGARIA</t>
  </si>
  <si>
    <t>0035948</t>
  </si>
  <si>
    <t>0035979</t>
  </si>
  <si>
    <t>0035987</t>
  </si>
  <si>
    <t>0035988</t>
  </si>
  <si>
    <t>0035989</t>
  </si>
  <si>
    <t>0035998</t>
  </si>
  <si>
    <t>00359988</t>
  </si>
  <si>
    <t>00359989</t>
  </si>
  <si>
    <t>0035999</t>
  </si>
  <si>
    <t>00226</t>
  </si>
  <si>
    <t>BURKINA FASO</t>
  </si>
  <si>
    <t>0022670</t>
  </si>
  <si>
    <t>0022676</t>
  </si>
  <si>
    <t>0022678</t>
  </si>
  <si>
    <t>00257</t>
  </si>
  <si>
    <t>BURUNDI</t>
  </si>
  <si>
    <t>0025729</t>
  </si>
  <si>
    <t>002579</t>
  </si>
  <si>
    <t>00975</t>
  </si>
  <si>
    <t>BUTHAN</t>
  </si>
  <si>
    <t>0097517</t>
  </si>
  <si>
    <t>0097593</t>
  </si>
  <si>
    <t>0097594</t>
  </si>
  <si>
    <t>0097595</t>
  </si>
  <si>
    <t>0097596</t>
  </si>
  <si>
    <t>0097597</t>
  </si>
  <si>
    <t>0097598</t>
  </si>
  <si>
    <t>0097599</t>
  </si>
  <si>
    <t>00238</t>
  </si>
  <si>
    <t>CABO VERDE</t>
  </si>
  <si>
    <t>0023891</t>
  </si>
  <si>
    <t>0023892</t>
  </si>
  <si>
    <t>0023893</t>
  </si>
  <si>
    <t>0023894</t>
  </si>
  <si>
    <t>0023895</t>
  </si>
  <si>
    <t>001345</t>
  </si>
  <si>
    <t>CAIMANES IS.</t>
  </si>
  <si>
    <t>001345323</t>
  </si>
  <si>
    <t>001345324</t>
  </si>
  <si>
    <t>001345325</t>
  </si>
  <si>
    <t>001345326</t>
  </si>
  <si>
    <t>001345327</t>
  </si>
  <si>
    <t>001345514</t>
  </si>
  <si>
    <t>001345516</t>
  </si>
  <si>
    <t>001345517</t>
  </si>
  <si>
    <t>001345525</t>
  </si>
  <si>
    <t>001345526</t>
  </si>
  <si>
    <t>001345527</t>
  </si>
  <si>
    <t>001345545</t>
  </si>
  <si>
    <t>001345546</t>
  </si>
  <si>
    <t>001345547</t>
  </si>
  <si>
    <t>001345548</t>
  </si>
  <si>
    <t>001345549</t>
  </si>
  <si>
    <t>001345916</t>
  </si>
  <si>
    <t>001345917</t>
  </si>
  <si>
    <t>001345919</t>
  </si>
  <si>
    <t>001345924</t>
  </si>
  <si>
    <t>001345925</t>
  </si>
  <si>
    <t>001345926</t>
  </si>
  <si>
    <t>001345927</t>
  </si>
  <si>
    <t>001345928</t>
  </si>
  <si>
    <t>001345929</t>
  </si>
  <si>
    <t>001345938</t>
  </si>
  <si>
    <t>00855</t>
  </si>
  <si>
    <t>CAMBOYA</t>
  </si>
  <si>
    <t>00237</t>
  </si>
  <si>
    <t>CAMERUN</t>
  </si>
  <si>
    <t>0023776</t>
  </si>
  <si>
    <t>0023777</t>
  </si>
  <si>
    <t>0023798</t>
  </si>
  <si>
    <t>0023799</t>
  </si>
  <si>
    <t>001204</t>
  </si>
  <si>
    <t>CANADA</t>
  </si>
  <si>
    <t>001250</t>
  </si>
  <si>
    <t>001289</t>
  </si>
  <si>
    <t>001306</t>
  </si>
  <si>
    <t>001403</t>
  </si>
  <si>
    <t>001416</t>
  </si>
  <si>
    <t>001418</t>
  </si>
  <si>
    <t>001450</t>
  </si>
  <si>
    <t>001506</t>
  </si>
  <si>
    <t>001514</t>
  </si>
  <si>
    <t>001519</t>
  </si>
  <si>
    <t>001575</t>
  </si>
  <si>
    <t>001600</t>
  </si>
  <si>
    <t>001604</t>
  </si>
  <si>
    <t>001613</t>
  </si>
  <si>
    <t>001647</t>
  </si>
  <si>
    <t>001705</t>
  </si>
  <si>
    <t>001709</t>
  </si>
  <si>
    <t>001778</t>
  </si>
  <si>
    <t>001780</t>
  </si>
  <si>
    <t>001807</t>
  </si>
  <si>
    <t>001819</t>
  </si>
  <si>
    <t>001867</t>
  </si>
  <si>
    <t>001902</t>
  </si>
  <si>
    <t>001905</t>
  </si>
  <si>
    <t>001250232</t>
  </si>
  <si>
    <t>CANADA - NORTHWEST TERRITORIES</t>
  </si>
  <si>
    <t>001250233</t>
  </si>
  <si>
    <t>001250234</t>
  </si>
  <si>
    <t>001250235</t>
  </si>
  <si>
    <t>001250237</t>
  </si>
  <si>
    <t>001250239</t>
  </si>
  <si>
    <t>001250321</t>
  </si>
  <si>
    <t>001250471</t>
  </si>
  <si>
    <t>001250500</t>
  </si>
  <si>
    <t>001250771</t>
  </si>
  <si>
    <t>001250772</t>
  </si>
  <si>
    <t>001250773</t>
  </si>
  <si>
    <t>001250774</t>
  </si>
  <si>
    <t>001250775</t>
  </si>
  <si>
    <t>001250776</t>
  </si>
  <si>
    <t>001250778</t>
  </si>
  <si>
    <t>001250779</t>
  </si>
  <si>
    <t>001579</t>
  </si>
  <si>
    <t>00236</t>
  </si>
  <si>
    <t>CENTRO AFRICANA</t>
  </si>
  <si>
    <t>002360</t>
  </si>
  <si>
    <t>0023650</t>
  </si>
  <si>
    <t>0023664</t>
  </si>
  <si>
    <t>00235</t>
  </si>
  <si>
    <t>CHAD</t>
  </si>
  <si>
    <t>002356</t>
  </si>
  <si>
    <t>002358</t>
  </si>
  <si>
    <t>002359</t>
  </si>
  <si>
    <t>00420</t>
  </si>
  <si>
    <t>CHECA REP</t>
  </si>
  <si>
    <t>00420601</t>
  </si>
  <si>
    <t>00420602</t>
  </si>
  <si>
    <t>00420603</t>
  </si>
  <si>
    <t>00420604</t>
  </si>
  <si>
    <t>00420605</t>
  </si>
  <si>
    <t>00420606</t>
  </si>
  <si>
    <t>0042072</t>
  </si>
  <si>
    <t>0042073</t>
  </si>
  <si>
    <t>0042077</t>
  </si>
  <si>
    <t>0042093</t>
  </si>
  <si>
    <t>00420961</t>
  </si>
  <si>
    <t>00420962</t>
  </si>
  <si>
    <t>00420963</t>
  </si>
  <si>
    <t>00420964</t>
  </si>
  <si>
    <t>00420965</t>
  </si>
  <si>
    <t>00420966</t>
  </si>
  <si>
    <t>0056</t>
  </si>
  <si>
    <t>CHILE</t>
  </si>
  <si>
    <t>00568</t>
  </si>
  <si>
    <t>00569</t>
  </si>
  <si>
    <t>00562</t>
  </si>
  <si>
    <t>CHILE - SANTIAGO DEL ESTERO</t>
  </si>
  <si>
    <t>005611</t>
  </si>
  <si>
    <t>CHILE AUDIOTEXTO</t>
  </si>
  <si>
    <t>005615</t>
  </si>
  <si>
    <t>0056219</t>
  </si>
  <si>
    <t>CHILE RURAL E ISLA DE PASCUA</t>
  </si>
  <si>
    <t>00562572</t>
  </si>
  <si>
    <t>00562593</t>
  </si>
  <si>
    <t>00562788</t>
  </si>
  <si>
    <t>00562794</t>
  </si>
  <si>
    <t>00562868</t>
  </si>
  <si>
    <t>00562917</t>
  </si>
  <si>
    <t>00562929</t>
  </si>
  <si>
    <t>00562930</t>
  </si>
  <si>
    <t>00563019</t>
  </si>
  <si>
    <t>00563119</t>
  </si>
  <si>
    <t>00563219</t>
  </si>
  <si>
    <t>0056322100</t>
  </si>
  <si>
    <t>005632255</t>
  </si>
  <si>
    <t>00563319</t>
  </si>
  <si>
    <t>00563419</t>
  </si>
  <si>
    <t>00563519</t>
  </si>
  <si>
    <t>00563619</t>
  </si>
  <si>
    <t>00563719</t>
  </si>
  <si>
    <t>00563819</t>
  </si>
  <si>
    <t>00563919</t>
  </si>
  <si>
    <t>00564019</t>
  </si>
  <si>
    <t>00564119</t>
  </si>
  <si>
    <t>0056413150</t>
  </si>
  <si>
    <t>00564219</t>
  </si>
  <si>
    <t>00564237</t>
  </si>
  <si>
    <t>00564297</t>
  </si>
  <si>
    <t>00564319</t>
  </si>
  <si>
    <t>00564337</t>
  </si>
  <si>
    <t>00564397</t>
  </si>
  <si>
    <t>00564419</t>
  </si>
  <si>
    <t>00564519</t>
  </si>
  <si>
    <t>00564535</t>
  </si>
  <si>
    <t>00564592</t>
  </si>
  <si>
    <t>00564619</t>
  </si>
  <si>
    <t>00564719</t>
  </si>
  <si>
    <t>00564819</t>
  </si>
  <si>
    <t>00564919</t>
  </si>
  <si>
    <t>00565019</t>
  </si>
  <si>
    <t>00565119</t>
  </si>
  <si>
    <t>00565219</t>
  </si>
  <si>
    <t>00565319</t>
  </si>
  <si>
    <t>00565419</t>
  </si>
  <si>
    <t>00565519</t>
  </si>
  <si>
    <t>00565619</t>
  </si>
  <si>
    <t>0056566533</t>
  </si>
  <si>
    <t>00565719</t>
  </si>
  <si>
    <t>00565819</t>
  </si>
  <si>
    <t>00565919</t>
  </si>
  <si>
    <t>00566019</t>
  </si>
  <si>
    <t>00566119</t>
  </si>
  <si>
    <t>00566219</t>
  </si>
  <si>
    <t>00566319</t>
  </si>
  <si>
    <t>00566337</t>
  </si>
  <si>
    <t>00566397</t>
  </si>
  <si>
    <t>00566419</t>
  </si>
  <si>
    <t>00566497</t>
  </si>
  <si>
    <t>00566519</t>
  </si>
  <si>
    <t>00566597</t>
  </si>
  <si>
    <t>00566619</t>
  </si>
  <si>
    <t>005667</t>
  </si>
  <si>
    <t>00566719</t>
  </si>
  <si>
    <t>00566819</t>
  </si>
  <si>
    <t>00566919</t>
  </si>
  <si>
    <t>00567019</t>
  </si>
  <si>
    <t>00567119</t>
  </si>
  <si>
    <t>00567135</t>
  </si>
  <si>
    <t>00567188</t>
  </si>
  <si>
    <t>005671970</t>
  </si>
  <si>
    <t>005671971</t>
  </si>
  <si>
    <t>005671972</t>
  </si>
  <si>
    <t>00567219</t>
  </si>
  <si>
    <t>00567319</t>
  </si>
  <si>
    <t>00567336</t>
  </si>
  <si>
    <t>00567377</t>
  </si>
  <si>
    <t>005673970</t>
  </si>
  <si>
    <t>005673971</t>
  </si>
  <si>
    <t>00567419</t>
  </si>
  <si>
    <t>00567519</t>
  </si>
  <si>
    <t>00567589</t>
  </si>
  <si>
    <t>00567619</t>
  </si>
  <si>
    <t>00567719</t>
  </si>
  <si>
    <t>00567819</t>
  </si>
  <si>
    <t>00567919</t>
  </si>
  <si>
    <t>005644</t>
  </si>
  <si>
    <t>CHILE VOIP</t>
  </si>
  <si>
    <t>0086</t>
  </si>
  <si>
    <t>CHINA REP. POP.</t>
  </si>
  <si>
    <t>0086130</t>
  </si>
  <si>
    <t>0086131</t>
  </si>
  <si>
    <t>0086133</t>
  </si>
  <si>
    <t>0086134</t>
  </si>
  <si>
    <t>0086135</t>
  </si>
  <si>
    <t>0086136</t>
  </si>
  <si>
    <t>0086137</t>
  </si>
  <si>
    <t>0086138</t>
  </si>
  <si>
    <t>0086139</t>
  </si>
  <si>
    <t>0086153</t>
  </si>
  <si>
    <t>0086156</t>
  </si>
  <si>
    <t>0086158</t>
  </si>
  <si>
    <t>0086159</t>
  </si>
  <si>
    <t>0086568</t>
  </si>
  <si>
    <t>0086569</t>
  </si>
  <si>
    <t>0086886</t>
  </si>
  <si>
    <t>00357</t>
  </si>
  <si>
    <t>CHIPRE</t>
  </si>
  <si>
    <t>0035791</t>
  </si>
  <si>
    <t>0035792</t>
  </si>
  <si>
    <t>0035794</t>
  </si>
  <si>
    <t>0035795</t>
  </si>
  <si>
    <t>0035796</t>
  </si>
  <si>
    <t>0035799</t>
  </si>
  <si>
    <t>003579920</t>
  </si>
  <si>
    <t>003579933</t>
  </si>
  <si>
    <t>00357994</t>
  </si>
  <si>
    <t>00357995</t>
  </si>
  <si>
    <t>00357996</t>
  </si>
  <si>
    <t>003579974</t>
  </si>
  <si>
    <t>003579975</t>
  </si>
  <si>
    <t>003579976</t>
  </si>
  <si>
    <t>003579977</t>
  </si>
  <si>
    <t>003579978</t>
  </si>
  <si>
    <t>003906682</t>
  </si>
  <si>
    <t>CIUDAD VATICANO</t>
  </si>
  <si>
    <t>003906690</t>
  </si>
  <si>
    <t>003906691</t>
  </si>
  <si>
    <t>003906692</t>
  </si>
  <si>
    <t>003906693</t>
  </si>
  <si>
    <t>003906695</t>
  </si>
  <si>
    <t>003906696</t>
  </si>
  <si>
    <t>003906697</t>
  </si>
  <si>
    <t>003906698</t>
  </si>
  <si>
    <t>003906699</t>
  </si>
  <si>
    <t>0057</t>
  </si>
  <si>
    <t>COLOMBIA</t>
  </si>
  <si>
    <t>00573</t>
  </si>
  <si>
    <t>00578245</t>
  </si>
  <si>
    <t>COLOMBIA - LOCAL EXTENDIDA</t>
  </si>
  <si>
    <t>00578246</t>
  </si>
  <si>
    <t>00578247</t>
  </si>
  <si>
    <t>00578248</t>
  </si>
  <si>
    <t>00578249</t>
  </si>
  <si>
    <t>00578249239</t>
  </si>
  <si>
    <t>0057825</t>
  </si>
  <si>
    <t>0057828</t>
  </si>
  <si>
    <t>00578430</t>
  </si>
  <si>
    <t>00578431</t>
  </si>
  <si>
    <t>0057846</t>
  </si>
  <si>
    <t>0057847</t>
  </si>
  <si>
    <t>00578514</t>
  </si>
  <si>
    <t>0057856</t>
  </si>
  <si>
    <t>0057862</t>
  </si>
  <si>
    <t>00578635</t>
  </si>
  <si>
    <t>005786351</t>
  </si>
  <si>
    <t>005786352</t>
  </si>
  <si>
    <t>00578636</t>
  </si>
  <si>
    <t>00578637</t>
  </si>
  <si>
    <t>00578638</t>
  </si>
  <si>
    <t>00578639</t>
  </si>
  <si>
    <t>00578645</t>
  </si>
  <si>
    <t>005786460</t>
  </si>
  <si>
    <t>005786487</t>
  </si>
  <si>
    <t>005786488</t>
  </si>
  <si>
    <t>005786489</t>
  </si>
  <si>
    <t>0057865</t>
  </si>
  <si>
    <t>005786550</t>
  </si>
  <si>
    <t>005786551</t>
  </si>
  <si>
    <t>005786557</t>
  </si>
  <si>
    <t>00578675</t>
  </si>
  <si>
    <t>005786753</t>
  </si>
  <si>
    <t>005786755</t>
  </si>
  <si>
    <t>005786756</t>
  </si>
  <si>
    <t>00578676</t>
  </si>
  <si>
    <t>005786870</t>
  </si>
  <si>
    <t>005786871</t>
  </si>
  <si>
    <t>0057872</t>
  </si>
  <si>
    <t>0057873</t>
  </si>
  <si>
    <t>00578750</t>
  </si>
  <si>
    <t>00578752</t>
  </si>
  <si>
    <t>00578753</t>
  </si>
  <si>
    <t>00578754</t>
  </si>
  <si>
    <t>00578759</t>
  </si>
  <si>
    <t>00578760</t>
  </si>
  <si>
    <t>00578761</t>
  </si>
  <si>
    <t>00578762</t>
  </si>
  <si>
    <t>00578763</t>
  </si>
  <si>
    <t>0057877</t>
  </si>
  <si>
    <t>0057878</t>
  </si>
  <si>
    <t>0057879</t>
  </si>
  <si>
    <t>0057880</t>
  </si>
  <si>
    <t>0057880226</t>
  </si>
  <si>
    <t>0057880227</t>
  </si>
  <si>
    <t>0057880228</t>
  </si>
  <si>
    <t>0057880229</t>
  </si>
  <si>
    <t>0057883</t>
  </si>
  <si>
    <t>005788336788</t>
  </si>
  <si>
    <t>005788336789</t>
  </si>
  <si>
    <t>00578833679</t>
  </si>
  <si>
    <t>005788390</t>
  </si>
  <si>
    <t>005788394</t>
  </si>
  <si>
    <t>0057884</t>
  </si>
  <si>
    <t>005788689</t>
  </si>
  <si>
    <t>00578878</t>
  </si>
  <si>
    <t>005788790</t>
  </si>
  <si>
    <t>005788791</t>
  </si>
  <si>
    <t>005788797</t>
  </si>
  <si>
    <t>0057893</t>
  </si>
  <si>
    <t>00269</t>
  </si>
  <si>
    <t>COMORES</t>
  </si>
  <si>
    <t>002693</t>
  </si>
  <si>
    <t>0026965</t>
  </si>
  <si>
    <t>0026966</t>
  </si>
  <si>
    <t>0026967</t>
  </si>
  <si>
    <t>0026968</t>
  </si>
  <si>
    <t>0026969</t>
  </si>
  <si>
    <t>0026970</t>
  </si>
  <si>
    <t>00682</t>
  </si>
  <si>
    <t>COOK IS.</t>
  </si>
  <si>
    <t>0068255</t>
  </si>
  <si>
    <t>00850</t>
  </si>
  <si>
    <t>COREA RDP.NORTE</t>
  </si>
  <si>
    <t>0082</t>
  </si>
  <si>
    <t>COREA REP.SUR</t>
  </si>
  <si>
    <t>00821</t>
  </si>
  <si>
    <t>00225</t>
  </si>
  <si>
    <t>COSTA DE MARFIL</t>
  </si>
  <si>
    <t>00506</t>
  </si>
  <si>
    <t>COSTA RICA</t>
  </si>
  <si>
    <t>005063</t>
  </si>
  <si>
    <t>005068</t>
  </si>
  <si>
    <t>00385</t>
  </si>
  <si>
    <t>CROACIA</t>
  </si>
  <si>
    <t>00385098</t>
  </si>
  <si>
    <t>00385099</t>
  </si>
  <si>
    <t>0038591</t>
  </si>
  <si>
    <t>0038598</t>
  </si>
  <si>
    <t>0038599</t>
  </si>
  <si>
    <t>0053</t>
  </si>
  <si>
    <t>CUBA</t>
  </si>
  <si>
    <t>005323</t>
  </si>
  <si>
    <t>00532461</t>
  </si>
  <si>
    <t>005331466</t>
  </si>
  <si>
    <t>005331467</t>
  </si>
  <si>
    <t>005332259</t>
  </si>
  <si>
    <t>005333</t>
  </si>
  <si>
    <t>005341</t>
  </si>
  <si>
    <t>005341286</t>
  </si>
  <si>
    <t>005341287</t>
  </si>
  <si>
    <t>005341996</t>
  </si>
  <si>
    <t>005342210</t>
  </si>
  <si>
    <t>0053520</t>
  </si>
  <si>
    <t>0053521</t>
  </si>
  <si>
    <t>0053522</t>
  </si>
  <si>
    <t>005352249</t>
  </si>
  <si>
    <t>0053523</t>
  </si>
  <si>
    <t>0053524</t>
  </si>
  <si>
    <t>0053525</t>
  </si>
  <si>
    <t>0053526</t>
  </si>
  <si>
    <t>0053527</t>
  </si>
  <si>
    <t>0053528</t>
  </si>
  <si>
    <t>0053529</t>
  </si>
  <si>
    <t>00535616</t>
  </si>
  <si>
    <t>00535880</t>
  </si>
  <si>
    <t>00535884</t>
  </si>
  <si>
    <t>00535885</t>
  </si>
  <si>
    <t>00535886</t>
  </si>
  <si>
    <t>00535887</t>
  </si>
  <si>
    <t>00535889</t>
  </si>
  <si>
    <t>00535890</t>
  </si>
  <si>
    <t>00535891</t>
  </si>
  <si>
    <t>00535892</t>
  </si>
  <si>
    <t>00535893</t>
  </si>
  <si>
    <t>00537264</t>
  </si>
  <si>
    <t>0053758</t>
  </si>
  <si>
    <t>0053775</t>
  </si>
  <si>
    <t>0053780</t>
  </si>
  <si>
    <t>0053785</t>
  </si>
  <si>
    <t>00246</t>
  </si>
  <si>
    <t>DIEGO GARCIA</t>
  </si>
  <si>
    <t>0045</t>
  </si>
  <si>
    <t>DINAMARCA</t>
  </si>
  <si>
    <t>00452</t>
  </si>
  <si>
    <t>004530</t>
  </si>
  <si>
    <t>004531</t>
  </si>
  <si>
    <t>00454</t>
  </si>
  <si>
    <t>004540</t>
  </si>
  <si>
    <t>004541</t>
  </si>
  <si>
    <t>00455</t>
  </si>
  <si>
    <t>004550</t>
  </si>
  <si>
    <t>004551</t>
  </si>
  <si>
    <t>00456</t>
  </si>
  <si>
    <t>004560</t>
  </si>
  <si>
    <t>0045611</t>
  </si>
  <si>
    <t>0045612</t>
  </si>
  <si>
    <t>0045613</t>
  </si>
  <si>
    <t>0045614</t>
  </si>
  <si>
    <t>0045615</t>
  </si>
  <si>
    <t>0045616</t>
  </si>
  <si>
    <t>0045617</t>
  </si>
  <si>
    <t>00253</t>
  </si>
  <si>
    <t>DJIBOUTI</t>
  </si>
  <si>
    <t>0025380</t>
  </si>
  <si>
    <t>0025381</t>
  </si>
  <si>
    <t>0025382</t>
  </si>
  <si>
    <t>0025383</t>
  </si>
  <si>
    <t>001767</t>
  </si>
  <si>
    <t>DOMINICA IS.</t>
  </si>
  <si>
    <t>001767504</t>
  </si>
  <si>
    <t>001767611</t>
  </si>
  <si>
    <t>001767612</t>
  </si>
  <si>
    <t>001767613</t>
  </si>
  <si>
    <t>001809</t>
  </si>
  <si>
    <t>DOMINICANA REP.</t>
  </si>
  <si>
    <t>001809201</t>
  </si>
  <si>
    <t>DOMINICANA REP.MOVIL</t>
  </si>
  <si>
    <t>001809203</t>
  </si>
  <si>
    <t>001809204</t>
  </si>
  <si>
    <t>001809205</t>
  </si>
  <si>
    <t>001809206</t>
  </si>
  <si>
    <t>001809207</t>
  </si>
  <si>
    <t>001809208</t>
  </si>
  <si>
    <t>001809209</t>
  </si>
  <si>
    <t>001809210</t>
  </si>
  <si>
    <t>001809212</t>
  </si>
  <si>
    <t>001809214</t>
  </si>
  <si>
    <t>001809215</t>
  </si>
  <si>
    <t>001809216</t>
  </si>
  <si>
    <t>001809217</t>
  </si>
  <si>
    <t>001809218</t>
  </si>
  <si>
    <t>001809219</t>
  </si>
  <si>
    <t>001809222</t>
  </si>
  <si>
    <t>001809223</t>
  </si>
  <si>
    <t>001809224</t>
  </si>
  <si>
    <t>001809225</t>
  </si>
  <si>
    <t>001809228</t>
  </si>
  <si>
    <t>001809229</t>
  </si>
  <si>
    <t>001809230</t>
  </si>
  <si>
    <t>001809232</t>
  </si>
  <si>
    <t>001809235</t>
  </si>
  <si>
    <t>001809248</t>
  </si>
  <si>
    <t>001809249</t>
  </si>
  <si>
    <t>001809250</t>
  </si>
  <si>
    <t>001809251</t>
  </si>
  <si>
    <t>001809252</t>
  </si>
  <si>
    <t>001809253</t>
  </si>
  <si>
    <t>001809254</t>
  </si>
  <si>
    <t>001809256</t>
  </si>
  <si>
    <t>001809257</t>
  </si>
  <si>
    <t>001809258</t>
  </si>
  <si>
    <t>001809259</t>
  </si>
  <si>
    <t>001809260</t>
  </si>
  <si>
    <t>001809262</t>
  </si>
  <si>
    <t>001809264</t>
  </si>
  <si>
    <t>001809265</t>
  </si>
  <si>
    <t>001809266</t>
  </si>
  <si>
    <t>001809267</t>
  </si>
  <si>
    <t>001809268</t>
  </si>
  <si>
    <t>001809269</t>
  </si>
  <si>
    <t>001809270</t>
  </si>
  <si>
    <t>001809271</t>
  </si>
  <si>
    <t>001809272</t>
  </si>
  <si>
    <t>001809280</t>
  </si>
  <si>
    <t>001809281</t>
  </si>
  <si>
    <t>001809282</t>
  </si>
  <si>
    <t>001809283</t>
  </si>
  <si>
    <t>001809284</t>
  </si>
  <si>
    <t>001809292</t>
  </si>
  <si>
    <t>001809293</t>
  </si>
  <si>
    <t>001809297</t>
  </si>
  <si>
    <t>001809298</t>
  </si>
  <si>
    <t>001809299</t>
  </si>
  <si>
    <t>00180930</t>
  </si>
  <si>
    <t>001809301</t>
  </si>
  <si>
    <t>001809302</t>
  </si>
  <si>
    <t>001809303</t>
  </si>
  <si>
    <t>001809304</t>
  </si>
  <si>
    <t>001809305</t>
  </si>
  <si>
    <t>001809306</t>
  </si>
  <si>
    <t>001809307</t>
  </si>
  <si>
    <t>001809308</t>
  </si>
  <si>
    <t>001809309</t>
  </si>
  <si>
    <t>001809310</t>
  </si>
  <si>
    <t>001809313</t>
  </si>
  <si>
    <t>001809315</t>
  </si>
  <si>
    <t>001809316</t>
  </si>
  <si>
    <t>001809317</t>
  </si>
  <si>
    <t>001809318</t>
  </si>
  <si>
    <t>001809319</t>
  </si>
  <si>
    <t>001809321</t>
  </si>
  <si>
    <t>001809322</t>
  </si>
  <si>
    <t>001809323</t>
  </si>
  <si>
    <t>001809324</t>
  </si>
  <si>
    <t>001809325</t>
  </si>
  <si>
    <t>001809326</t>
  </si>
  <si>
    <t>001809327</t>
  </si>
  <si>
    <t>001809330</t>
  </si>
  <si>
    <t>001809340</t>
  </si>
  <si>
    <t>001809341</t>
  </si>
  <si>
    <t>001809342</t>
  </si>
  <si>
    <t>001809343</t>
  </si>
  <si>
    <t>001809344</t>
  </si>
  <si>
    <t>001809345</t>
  </si>
  <si>
    <t>001809348</t>
  </si>
  <si>
    <t>00180935</t>
  </si>
  <si>
    <t>001809360</t>
  </si>
  <si>
    <t>001809361</t>
  </si>
  <si>
    <t>001809366</t>
  </si>
  <si>
    <t>001809370</t>
  </si>
  <si>
    <t>001809371</t>
  </si>
  <si>
    <t>001809374</t>
  </si>
  <si>
    <t>001809376</t>
  </si>
  <si>
    <t>001809377</t>
  </si>
  <si>
    <t>001809383</t>
  </si>
  <si>
    <t>001809386</t>
  </si>
  <si>
    <t>001809387</t>
  </si>
  <si>
    <t>001809389</t>
  </si>
  <si>
    <t>00180939</t>
  </si>
  <si>
    <t>001809401</t>
  </si>
  <si>
    <t>001809402</t>
  </si>
  <si>
    <t>001809403</t>
  </si>
  <si>
    <t>001809404</t>
  </si>
  <si>
    <t>001809405</t>
  </si>
  <si>
    <t>001809406</t>
  </si>
  <si>
    <t>001809415</t>
  </si>
  <si>
    <t>001809416</t>
  </si>
  <si>
    <t>001809417</t>
  </si>
  <si>
    <t>001809418</t>
  </si>
  <si>
    <t>001809419</t>
  </si>
  <si>
    <t>00180942</t>
  </si>
  <si>
    <t>001809420</t>
  </si>
  <si>
    <t>001809421</t>
  </si>
  <si>
    <t>001809423</t>
  </si>
  <si>
    <t>001809424</t>
  </si>
  <si>
    <t>001809425</t>
  </si>
  <si>
    <t>001809426</t>
  </si>
  <si>
    <t>001809427</t>
  </si>
  <si>
    <t>001809428</t>
  </si>
  <si>
    <t>001809429</t>
  </si>
  <si>
    <t>001809430</t>
  </si>
  <si>
    <t>001809431</t>
  </si>
  <si>
    <t>001809432</t>
  </si>
  <si>
    <t>001809433</t>
  </si>
  <si>
    <t>001809436</t>
  </si>
  <si>
    <t>001809437</t>
  </si>
  <si>
    <t>001809438</t>
  </si>
  <si>
    <t>001809439</t>
  </si>
  <si>
    <t>00180944</t>
  </si>
  <si>
    <t>001809451</t>
  </si>
  <si>
    <t>001809452</t>
  </si>
  <si>
    <t>001809453</t>
  </si>
  <si>
    <t>001809454</t>
  </si>
  <si>
    <t>001809456</t>
  </si>
  <si>
    <t>001809457</t>
  </si>
  <si>
    <t>001809458</t>
  </si>
  <si>
    <t>001809459</t>
  </si>
  <si>
    <t>001809460</t>
  </si>
  <si>
    <t>001809461</t>
  </si>
  <si>
    <t>001809462</t>
  </si>
  <si>
    <t>001809463</t>
  </si>
  <si>
    <t>001809464</t>
  </si>
  <si>
    <t>001809465</t>
  </si>
  <si>
    <t>001809470</t>
  </si>
  <si>
    <t>001809474</t>
  </si>
  <si>
    <t>001809481</t>
  </si>
  <si>
    <t>001809484</t>
  </si>
  <si>
    <t>001809485</t>
  </si>
  <si>
    <t>001809486</t>
  </si>
  <si>
    <t>001809488</t>
  </si>
  <si>
    <t>00180949</t>
  </si>
  <si>
    <t>001809501</t>
  </si>
  <si>
    <t>001809502</t>
  </si>
  <si>
    <t>001809504</t>
  </si>
  <si>
    <t>001809505</t>
  </si>
  <si>
    <t>001809506</t>
  </si>
  <si>
    <t>001809507</t>
  </si>
  <si>
    <t>001809509</t>
  </si>
  <si>
    <t>001809510</t>
  </si>
  <si>
    <t>001809512</t>
  </si>
  <si>
    <t>001809513</t>
  </si>
  <si>
    <t>001809514</t>
  </si>
  <si>
    <t>001809515</t>
  </si>
  <si>
    <t>001809516</t>
  </si>
  <si>
    <t>001809517</t>
  </si>
  <si>
    <t>001809519</t>
  </si>
  <si>
    <t>001809520</t>
  </si>
  <si>
    <t>001809542</t>
  </si>
  <si>
    <t>001809543</t>
  </si>
  <si>
    <t>001809545</t>
  </si>
  <si>
    <t>001809546</t>
  </si>
  <si>
    <t>001809604</t>
  </si>
  <si>
    <t>001809606</t>
  </si>
  <si>
    <t>001809615</t>
  </si>
  <si>
    <t>001809618</t>
  </si>
  <si>
    <t>001809624</t>
  </si>
  <si>
    <t>001809628</t>
  </si>
  <si>
    <t>001809629</t>
  </si>
  <si>
    <t>001809630</t>
  </si>
  <si>
    <t>001809631</t>
  </si>
  <si>
    <t>001809632</t>
  </si>
  <si>
    <t>001809634</t>
  </si>
  <si>
    <t>001809635</t>
  </si>
  <si>
    <t>001809637</t>
  </si>
  <si>
    <t>001809639</t>
  </si>
  <si>
    <t>00180964</t>
  </si>
  <si>
    <t>001809650</t>
  </si>
  <si>
    <t>001809651</t>
  </si>
  <si>
    <t>001809652</t>
  </si>
  <si>
    <t>001809653</t>
  </si>
  <si>
    <t>001809656</t>
  </si>
  <si>
    <t>001809658</t>
  </si>
  <si>
    <t>001809659</t>
  </si>
  <si>
    <t>001809661</t>
  </si>
  <si>
    <t>001809662</t>
  </si>
  <si>
    <t>001809663</t>
  </si>
  <si>
    <t>001809664</t>
  </si>
  <si>
    <t>001809665</t>
  </si>
  <si>
    <t>001809666</t>
  </si>
  <si>
    <t>001809667</t>
  </si>
  <si>
    <t>001809668</t>
  </si>
  <si>
    <t>001809669</t>
  </si>
  <si>
    <t>001809670</t>
  </si>
  <si>
    <t>001809671</t>
  </si>
  <si>
    <t>001809672</t>
  </si>
  <si>
    <t>001809673</t>
  </si>
  <si>
    <t>001809674</t>
  </si>
  <si>
    <t>001809675</t>
  </si>
  <si>
    <t>001809676</t>
  </si>
  <si>
    <t>001809677</t>
  </si>
  <si>
    <t>001809678</t>
  </si>
  <si>
    <t>001809693</t>
  </si>
  <si>
    <t>001809694</t>
  </si>
  <si>
    <t>001809696</t>
  </si>
  <si>
    <t>001809697</t>
  </si>
  <si>
    <t>001809698</t>
  </si>
  <si>
    <t>001809702</t>
  </si>
  <si>
    <t>001809703</t>
  </si>
  <si>
    <t>001809704</t>
  </si>
  <si>
    <t>001809705</t>
  </si>
  <si>
    <t>001809706</t>
  </si>
  <si>
    <t>001809707</t>
  </si>
  <si>
    <t>001809710</t>
  </si>
  <si>
    <t>001809711</t>
  </si>
  <si>
    <t>001809712</t>
  </si>
  <si>
    <t>001809713</t>
  </si>
  <si>
    <t>001809714</t>
  </si>
  <si>
    <t>001809715</t>
  </si>
  <si>
    <t>001809720</t>
  </si>
  <si>
    <t>001809721</t>
  </si>
  <si>
    <t>001809722</t>
  </si>
  <si>
    <t>001809723</t>
  </si>
  <si>
    <t>001809727</t>
  </si>
  <si>
    <t>001809729</t>
  </si>
  <si>
    <t>001809742</t>
  </si>
  <si>
    <t>001809743</t>
  </si>
  <si>
    <t>001809747</t>
  </si>
  <si>
    <t>001809749</t>
  </si>
  <si>
    <t>001809750</t>
  </si>
  <si>
    <t>001809751</t>
  </si>
  <si>
    <t>001809752</t>
  </si>
  <si>
    <t>001809753</t>
  </si>
  <si>
    <t>001809754</t>
  </si>
  <si>
    <t>001809756</t>
  </si>
  <si>
    <t>001809757</t>
  </si>
  <si>
    <t>001809758</t>
  </si>
  <si>
    <t>001809759</t>
  </si>
  <si>
    <t>00180976</t>
  </si>
  <si>
    <t>001809760</t>
  </si>
  <si>
    <t>001809761</t>
  </si>
  <si>
    <t>001809762</t>
  </si>
  <si>
    <t>001809763</t>
  </si>
  <si>
    <t>001809764</t>
  </si>
  <si>
    <t>001809765</t>
  </si>
  <si>
    <t>001809767</t>
  </si>
  <si>
    <t>001809768</t>
  </si>
  <si>
    <t>001809769</t>
  </si>
  <si>
    <t>001809771</t>
  </si>
  <si>
    <t>001809772</t>
  </si>
  <si>
    <t>001809773</t>
  </si>
  <si>
    <t>001809774</t>
  </si>
  <si>
    <t>001809775</t>
  </si>
  <si>
    <t>001809776</t>
  </si>
  <si>
    <t>001809777</t>
  </si>
  <si>
    <t>001809778</t>
  </si>
  <si>
    <t>001809779</t>
  </si>
  <si>
    <t>001809780</t>
  </si>
  <si>
    <t>001809781</t>
  </si>
  <si>
    <t>001809782</t>
  </si>
  <si>
    <t>001809783</t>
  </si>
  <si>
    <t>001809785</t>
  </si>
  <si>
    <t>001809786</t>
  </si>
  <si>
    <t>001809787</t>
  </si>
  <si>
    <t>001809789</t>
  </si>
  <si>
    <t>001809790</t>
  </si>
  <si>
    <t>001809791</t>
  </si>
  <si>
    <t>001809796</t>
  </si>
  <si>
    <t>001809798</t>
  </si>
  <si>
    <t>001809801</t>
  </si>
  <si>
    <t>001809802</t>
  </si>
  <si>
    <t>001809803</t>
  </si>
  <si>
    <t>001809804</t>
  </si>
  <si>
    <t>001809805</t>
  </si>
  <si>
    <t>001809812</t>
  </si>
  <si>
    <t>001809815</t>
  </si>
  <si>
    <t>001809816</t>
  </si>
  <si>
    <t>001809817</t>
  </si>
  <si>
    <t>001809818</t>
  </si>
  <si>
    <t>001809819</t>
  </si>
  <si>
    <t>001809820</t>
  </si>
  <si>
    <t>001809821</t>
  </si>
  <si>
    <t>001809827</t>
  </si>
  <si>
    <t>001809828</t>
  </si>
  <si>
    <t>001809829</t>
  </si>
  <si>
    <t>001809834</t>
  </si>
  <si>
    <t>001809835</t>
  </si>
  <si>
    <t>001809836</t>
  </si>
  <si>
    <t>001809837</t>
  </si>
  <si>
    <t>001809838</t>
  </si>
  <si>
    <t>001809839</t>
  </si>
  <si>
    <t>00180984</t>
  </si>
  <si>
    <t>00180985</t>
  </si>
  <si>
    <t>00180986</t>
  </si>
  <si>
    <t>001809871</t>
  </si>
  <si>
    <t>001809873</t>
  </si>
  <si>
    <t>001809874</t>
  </si>
  <si>
    <t>001809875</t>
  </si>
  <si>
    <t>001809876</t>
  </si>
  <si>
    <t>001809877</t>
  </si>
  <si>
    <t>001809878</t>
  </si>
  <si>
    <t>001809879</t>
  </si>
  <si>
    <t>00180988</t>
  </si>
  <si>
    <t>001809880</t>
  </si>
  <si>
    <t>001809881</t>
  </si>
  <si>
    <t>001809882</t>
  </si>
  <si>
    <t>001809883</t>
  </si>
  <si>
    <t>001809884</t>
  </si>
  <si>
    <t>001809885</t>
  </si>
  <si>
    <t>001809886</t>
  </si>
  <si>
    <t>001809889</t>
  </si>
  <si>
    <t>001809890</t>
  </si>
  <si>
    <t>001809891</t>
  </si>
  <si>
    <t>001809899</t>
  </si>
  <si>
    <t>001809901</t>
  </si>
  <si>
    <t>001809902</t>
  </si>
  <si>
    <t>001809903</t>
  </si>
  <si>
    <t>001809904</t>
  </si>
  <si>
    <t>001809905</t>
  </si>
  <si>
    <t>001809906</t>
  </si>
  <si>
    <t>001809907</t>
  </si>
  <si>
    <t>001809909</t>
  </si>
  <si>
    <t>001809910</t>
  </si>
  <si>
    <t>001809912</t>
  </si>
  <si>
    <t>001809913</t>
  </si>
  <si>
    <t>001809914</t>
  </si>
  <si>
    <t>001809915</t>
  </si>
  <si>
    <t>001809916</t>
  </si>
  <si>
    <t>001809917</t>
  </si>
  <si>
    <t>001809918</t>
  </si>
  <si>
    <t>001809919</t>
  </si>
  <si>
    <t>001809923</t>
  </si>
  <si>
    <t>001809924</t>
  </si>
  <si>
    <t>001809928</t>
  </si>
  <si>
    <t>001809929</t>
  </si>
  <si>
    <t>001809932</t>
  </si>
  <si>
    <t>001809938</t>
  </si>
  <si>
    <t>001809939</t>
  </si>
  <si>
    <t>001809940</t>
  </si>
  <si>
    <t>001809941</t>
  </si>
  <si>
    <t>001809942</t>
  </si>
  <si>
    <t>001809943</t>
  </si>
  <si>
    <t>001809944</t>
  </si>
  <si>
    <t>001809945</t>
  </si>
  <si>
    <t>001809946</t>
  </si>
  <si>
    <t>001809949</t>
  </si>
  <si>
    <t>001809952</t>
  </si>
  <si>
    <t>001809953</t>
  </si>
  <si>
    <t>001809956</t>
  </si>
  <si>
    <t>00180996</t>
  </si>
  <si>
    <t>001809961</t>
  </si>
  <si>
    <t>001809962</t>
  </si>
  <si>
    <t>001809963</t>
  </si>
  <si>
    <t>001809964</t>
  </si>
  <si>
    <t>001809965</t>
  </si>
  <si>
    <t>001809966</t>
  </si>
  <si>
    <t>001809967</t>
  </si>
  <si>
    <t>001809968</t>
  </si>
  <si>
    <t>001809969</t>
  </si>
  <si>
    <t>001809972</t>
  </si>
  <si>
    <t>001809973</t>
  </si>
  <si>
    <t>001809974</t>
  </si>
  <si>
    <t>001809975</t>
  </si>
  <si>
    <t>001809977</t>
  </si>
  <si>
    <t>001809978</t>
  </si>
  <si>
    <t>001809979</t>
  </si>
  <si>
    <t>001809980</t>
  </si>
  <si>
    <t>001809981</t>
  </si>
  <si>
    <t>001809982</t>
  </si>
  <si>
    <t>001809983</t>
  </si>
  <si>
    <t>001809986</t>
  </si>
  <si>
    <t>00180999</t>
  </si>
  <si>
    <t>001829201</t>
  </si>
  <si>
    <t>001829202</t>
  </si>
  <si>
    <t>001829203</t>
  </si>
  <si>
    <t>001829205</t>
  </si>
  <si>
    <t>001829206</t>
  </si>
  <si>
    <t>001829207</t>
  </si>
  <si>
    <t>001829208</t>
  </si>
  <si>
    <t>001829209</t>
  </si>
  <si>
    <t>001829210</t>
  </si>
  <si>
    <t>001829212</t>
  </si>
  <si>
    <t>001829214</t>
  </si>
  <si>
    <t>001829230</t>
  </si>
  <si>
    <t>001829232</t>
  </si>
  <si>
    <t>001829233</t>
  </si>
  <si>
    <t>001829250</t>
  </si>
  <si>
    <t>001829252</t>
  </si>
  <si>
    <t>001829255</t>
  </si>
  <si>
    <t>001829257</t>
  </si>
  <si>
    <t>001829258</t>
  </si>
  <si>
    <t>001829259</t>
  </si>
  <si>
    <t>001829260</t>
  </si>
  <si>
    <t>001829261</t>
  </si>
  <si>
    <t>001829262</t>
  </si>
  <si>
    <t>001829263</t>
  </si>
  <si>
    <t>001829264</t>
  </si>
  <si>
    <t>001829266</t>
  </si>
  <si>
    <t>001829267</t>
  </si>
  <si>
    <t>001829268</t>
  </si>
  <si>
    <t>001829269</t>
  </si>
  <si>
    <t>001829270</t>
  </si>
  <si>
    <t>001829271</t>
  </si>
  <si>
    <t>001829272</t>
  </si>
  <si>
    <t>001829273</t>
  </si>
  <si>
    <t>001829274</t>
  </si>
  <si>
    <t>001829275</t>
  </si>
  <si>
    <t>001829276</t>
  </si>
  <si>
    <t>001829277</t>
  </si>
  <si>
    <t>001829278</t>
  </si>
  <si>
    <t>001829279</t>
  </si>
  <si>
    <t>00182928</t>
  </si>
  <si>
    <t>00182929</t>
  </si>
  <si>
    <t>001829290</t>
  </si>
  <si>
    <t>001829296</t>
  </si>
  <si>
    <t>001829297</t>
  </si>
  <si>
    <t>001829298</t>
  </si>
  <si>
    <t>001829302</t>
  </si>
  <si>
    <t>001829303</t>
  </si>
  <si>
    <t>001829304</t>
  </si>
  <si>
    <t>001829310</t>
  </si>
  <si>
    <t>001829312</t>
  </si>
  <si>
    <t>001829313</t>
  </si>
  <si>
    <t>001829314</t>
  </si>
  <si>
    <t>001829315</t>
  </si>
  <si>
    <t>001829316</t>
  </si>
  <si>
    <t>001829317</t>
  </si>
  <si>
    <t>001829318</t>
  </si>
  <si>
    <t>001829319</t>
  </si>
  <si>
    <t>00182932</t>
  </si>
  <si>
    <t>001829330</t>
  </si>
  <si>
    <t>001829331</t>
  </si>
  <si>
    <t>001829332</t>
  </si>
  <si>
    <t>001829334</t>
  </si>
  <si>
    <t>001829335</t>
  </si>
  <si>
    <t>00182934</t>
  </si>
  <si>
    <t>001829350</t>
  </si>
  <si>
    <t>001829351</t>
  </si>
  <si>
    <t>001829352</t>
  </si>
  <si>
    <t>001829353</t>
  </si>
  <si>
    <t>001829354</t>
  </si>
  <si>
    <t>001829355</t>
  </si>
  <si>
    <t>001829356</t>
  </si>
  <si>
    <t>001829357</t>
  </si>
  <si>
    <t>001829358</t>
  </si>
  <si>
    <t>001829359</t>
  </si>
  <si>
    <t>00182936</t>
  </si>
  <si>
    <t>001829370</t>
  </si>
  <si>
    <t>001829371</t>
  </si>
  <si>
    <t>001829372</t>
  </si>
  <si>
    <t>001829373</t>
  </si>
  <si>
    <t>001829374</t>
  </si>
  <si>
    <t>001829376</t>
  </si>
  <si>
    <t>001829377</t>
  </si>
  <si>
    <t>00182938</t>
  </si>
  <si>
    <t>00182939</t>
  </si>
  <si>
    <t>001829406</t>
  </si>
  <si>
    <t>001829415</t>
  </si>
  <si>
    <t>001829418</t>
  </si>
  <si>
    <t>001829419</t>
  </si>
  <si>
    <t>00182942</t>
  </si>
  <si>
    <t>00182943</t>
  </si>
  <si>
    <t>001829440</t>
  </si>
  <si>
    <t>001829441</t>
  </si>
  <si>
    <t>001829442</t>
  </si>
  <si>
    <t>001829443</t>
  </si>
  <si>
    <t>001829444</t>
  </si>
  <si>
    <t>001829445</t>
  </si>
  <si>
    <t>001829446</t>
  </si>
  <si>
    <t>001829449</t>
  </si>
  <si>
    <t>00182945</t>
  </si>
  <si>
    <t>00182946</t>
  </si>
  <si>
    <t>00182947</t>
  </si>
  <si>
    <t>001829503</t>
  </si>
  <si>
    <t>001829613</t>
  </si>
  <si>
    <t>001829630</t>
  </si>
  <si>
    <t>001829640</t>
  </si>
  <si>
    <t>001829646</t>
  </si>
  <si>
    <t>001829650</t>
  </si>
  <si>
    <t>001829653</t>
  </si>
  <si>
    <t>001829654</t>
  </si>
  <si>
    <t>001829655</t>
  </si>
  <si>
    <t>001829657</t>
  </si>
  <si>
    <t>001829661</t>
  </si>
  <si>
    <t>001829662</t>
  </si>
  <si>
    <t>001829663</t>
  </si>
  <si>
    <t>001829664</t>
  </si>
  <si>
    <t>001829665</t>
  </si>
  <si>
    <t>001829667</t>
  </si>
  <si>
    <t>001829668</t>
  </si>
  <si>
    <t>001829669</t>
  </si>
  <si>
    <t>001829676</t>
  </si>
  <si>
    <t>001829699</t>
  </si>
  <si>
    <t>001829702</t>
  </si>
  <si>
    <t>001829703</t>
  </si>
  <si>
    <t>001829704</t>
  </si>
  <si>
    <t>001829706</t>
  </si>
  <si>
    <t>001829710</t>
  </si>
  <si>
    <t>001829740</t>
  </si>
  <si>
    <t>001829744</t>
  </si>
  <si>
    <t>001829747</t>
  </si>
  <si>
    <t>001829750</t>
  </si>
  <si>
    <t>001829755</t>
  </si>
  <si>
    <t>001829757</t>
  </si>
  <si>
    <t>001829760</t>
  </si>
  <si>
    <t>001829766</t>
  </si>
  <si>
    <t>001829777</t>
  </si>
  <si>
    <t>001829780</t>
  </si>
  <si>
    <t>001829788</t>
  </si>
  <si>
    <t>001829790</t>
  </si>
  <si>
    <t>001829799</t>
  </si>
  <si>
    <t>001829802</t>
  </si>
  <si>
    <t>001829803</t>
  </si>
  <si>
    <t>001829805</t>
  </si>
  <si>
    <t>001829815</t>
  </si>
  <si>
    <t>001829816</t>
  </si>
  <si>
    <t>001829817</t>
  </si>
  <si>
    <t>001829818</t>
  </si>
  <si>
    <t>001829819</t>
  </si>
  <si>
    <t>001829830</t>
  </si>
  <si>
    <t>001829838</t>
  </si>
  <si>
    <t>001829852</t>
  </si>
  <si>
    <t>001829853</t>
  </si>
  <si>
    <t>001829854</t>
  </si>
  <si>
    <t>001829856</t>
  </si>
  <si>
    <t>001829857</t>
  </si>
  <si>
    <t>001829862</t>
  </si>
  <si>
    <t>001829867</t>
  </si>
  <si>
    <t>001829869</t>
  </si>
  <si>
    <t>001829870</t>
  </si>
  <si>
    <t>001829873</t>
  </si>
  <si>
    <t>001829879</t>
  </si>
  <si>
    <t>001829899</t>
  </si>
  <si>
    <t>001829931</t>
  </si>
  <si>
    <t>001829935</t>
  </si>
  <si>
    <t>001829958</t>
  </si>
  <si>
    <t>00182996</t>
  </si>
  <si>
    <t>001829972</t>
  </si>
  <si>
    <t>001829973</t>
  </si>
  <si>
    <t>001829974</t>
  </si>
  <si>
    <t>001829975</t>
  </si>
  <si>
    <t>001829977</t>
  </si>
  <si>
    <t>001829978</t>
  </si>
  <si>
    <t>00182998</t>
  </si>
  <si>
    <t>00691</t>
  </si>
  <si>
    <t>E.F.MICRONESIA</t>
  </si>
  <si>
    <t>00593</t>
  </si>
  <si>
    <t>ECUADOR</t>
  </si>
  <si>
    <t>005938</t>
  </si>
  <si>
    <t>005939</t>
  </si>
  <si>
    <t>0020</t>
  </si>
  <si>
    <t>EGIPTO</t>
  </si>
  <si>
    <t>00201</t>
  </si>
  <si>
    <t>00503</t>
  </si>
  <si>
    <t>EL SALVADOR</t>
  </si>
  <si>
    <t>005037</t>
  </si>
  <si>
    <t>00971</t>
  </si>
  <si>
    <t>EMIRATOS A.UNID</t>
  </si>
  <si>
    <t>0097143</t>
  </si>
  <si>
    <t>0097144</t>
  </si>
  <si>
    <t>0097145</t>
  </si>
  <si>
    <t>0097146</t>
  </si>
  <si>
    <t>0097147</t>
  </si>
  <si>
    <t>0097148</t>
  </si>
  <si>
    <t>0097149</t>
  </si>
  <si>
    <t>0097150</t>
  </si>
  <si>
    <t>009715068</t>
  </si>
  <si>
    <t>009715069</t>
  </si>
  <si>
    <t>009715079</t>
  </si>
  <si>
    <t>0097155</t>
  </si>
  <si>
    <t>0097156</t>
  </si>
  <si>
    <t>0097157</t>
  </si>
  <si>
    <t>0097158</t>
  </si>
  <si>
    <t>009716</t>
  </si>
  <si>
    <t>0097177</t>
  </si>
  <si>
    <t>0097178</t>
  </si>
  <si>
    <t>0097179</t>
  </si>
  <si>
    <t>0097181</t>
  </si>
  <si>
    <t>0097182</t>
  </si>
  <si>
    <t>0097183</t>
  </si>
  <si>
    <t>0097184</t>
  </si>
  <si>
    <t>0097185</t>
  </si>
  <si>
    <t>0097186</t>
  </si>
  <si>
    <t>0097187</t>
  </si>
  <si>
    <t>00291</t>
  </si>
  <si>
    <t>ERITREA</t>
  </si>
  <si>
    <t>00421</t>
  </si>
  <si>
    <t>ESLOVACA REP</t>
  </si>
  <si>
    <t>004219</t>
  </si>
  <si>
    <t>0042190</t>
  </si>
  <si>
    <t>00386</t>
  </si>
  <si>
    <t>ESLOVENIA</t>
  </si>
  <si>
    <t>0038630</t>
  </si>
  <si>
    <t>0038631</t>
  </si>
  <si>
    <t>0038640</t>
  </si>
  <si>
    <t>0038641</t>
  </si>
  <si>
    <t>0038650</t>
  </si>
  <si>
    <t>0038651</t>
  </si>
  <si>
    <t>0038661601</t>
  </si>
  <si>
    <t>0038670</t>
  </si>
  <si>
    <t>003869800</t>
  </si>
  <si>
    <t>003869801</t>
  </si>
  <si>
    <t>003869802</t>
  </si>
  <si>
    <t>003869803</t>
  </si>
  <si>
    <t>003869817</t>
  </si>
  <si>
    <t>0034</t>
  </si>
  <si>
    <t>ESPANA</t>
  </si>
  <si>
    <t>00346</t>
  </si>
  <si>
    <t>001</t>
  </si>
  <si>
    <t>ESTADOS UNIDOS</t>
  </si>
  <si>
    <t>00372</t>
  </si>
  <si>
    <t>ESTONIA</t>
  </si>
  <si>
    <t>0037250</t>
  </si>
  <si>
    <t>0037251</t>
  </si>
  <si>
    <t>0037252</t>
  </si>
  <si>
    <t>0037253</t>
  </si>
  <si>
    <t>0037254</t>
  </si>
  <si>
    <t>0037255</t>
  </si>
  <si>
    <t>0037256</t>
  </si>
  <si>
    <t>0037257</t>
  </si>
  <si>
    <t>00251</t>
  </si>
  <si>
    <t>ETIOPIA</t>
  </si>
  <si>
    <t>00251920</t>
  </si>
  <si>
    <t>00251921</t>
  </si>
  <si>
    <t>00251922</t>
  </si>
  <si>
    <t>00251923</t>
  </si>
  <si>
    <t>00251929</t>
  </si>
  <si>
    <t>00298</t>
  </si>
  <si>
    <t>FAROE IS.</t>
  </si>
  <si>
    <t>00679</t>
  </si>
  <si>
    <t>FIDJI IS.</t>
  </si>
  <si>
    <t>0067990</t>
  </si>
  <si>
    <t>0067992</t>
  </si>
  <si>
    <t>0067993</t>
  </si>
  <si>
    <t>0067994</t>
  </si>
  <si>
    <t>0067995</t>
  </si>
  <si>
    <t>0067996</t>
  </si>
  <si>
    <t>0067997</t>
  </si>
  <si>
    <t>0067998</t>
  </si>
  <si>
    <t>0067999</t>
  </si>
  <si>
    <t>0063</t>
  </si>
  <si>
    <t>FILIPINAS</t>
  </si>
  <si>
    <t>00639</t>
  </si>
  <si>
    <t>FILIPINAS MOVIL</t>
  </si>
  <si>
    <t>00358</t>
  </si>
  <si>
    <t>FINLANDIA</t>
  </si>
  <si>
    <t>003584</t>
  </si>
  <si>
    <t>0035840</t>
  </si>
  <si>
    <t>0035841</t>
  </si>
  <si>
    <t>0035842</t>
  </si>
  <si>
    <t>00358431</t>
  </si>
  <si>
    <t>00358438</t>
  </si>
  <si>
    <t>00358439</t>
  </si>
  <si>
    <t>0035844</t>
  </si>
  <si>
    <t>00358450</t>
  </si>
  <si>
    <t>003584559</t>
  </si>
  <si>
    <t>00358456</t>
  </si>
  <si>
    <t>003584570</t>
  </si>
  <si>
    <t>003584573</t>
  </si>
  <si>
    <t>003584575</t>
  </si>
  <si>
    <t>003584576</t>
  </si>
  <si>
    <t>003584577</t>
  </si>
  <si>
    <t>003584578</t>
  </si>
  <si>
    <t>003584579</t>
  </si>
  <si>
    <t>0035846</t>
  </si>
  <si>
    <t>00358480</t>
  </si>
  <si>
    <t>00358481</t>
  </si>
  <si>
    <t>00358482</t>
  </si>
  <si>
    <t>00358483</t>
  </si>
  <si>
    <t>00358484</t>
  </si>
  <si>
    <t>00358485</t>
  </si>
  <si>
    <t>00358486</t>
  </si>
  <si>
    <t>00358489</t>
  </si>
  <si>
    <t>00358491</t>
  </si>
  <si>
    <t>00358492</t>
  </si>
  <si>
    <t>00358493</t>
  </si>
  <si>
    <t>0035850</t>
  </si>
  <si>
    <t>0033</t>
  </si>
  <si>
    <t>FRANCIA</t>
  </si>
  <si>
    <t>003363800</t>
  </si>
  <si>
    <t>FRANCIA - MÓVIL GLOBASTAR</t>
  </si>
  <si>
    <t>003364000</t>
  </si>
  <si>
    <t>003364001</t>
  </si>
  <si>
    <t>003364002</t>
  </si>
  <si>
    <t>003364003</t>
  </si>
  <si>
    <t>003364004</t>
  </si>
  <si>
    <t>00241</t>
  </si>
  <si>
    <t>GABONESA</t>
  </si>
  <si>
    <t>0024124</t>
  </si>
  <si>
    <t>0024125</t>
  </si>
  <si>
    <t>0024126</t>
  </si>
  <si>
    <t>00220</t>
  </si>
  <si>
    <t>GAMBIA</t>
  </si>
  <si>
    <t>002207</t>
  </si>
  <si>
    <t>002209</t>
  </si>
  <si>
    <t>00995</t>
  </si>
  <si>
    <t>GEORGIA</t>
  </si>
  <si>
    <t>0099577</t>
  </si>
  <si>
    <t>0099590</t>
  </si>
  <si>
    <t>0099593</t>
  </si>
  <si>
    <t>0099599</t>
  </si>
  <si>
    <t>00233</t>
  </si>
  <si>
    <t>GHANA</t>
  </si>
  <si>
    <t>0023324</t>
  </si>
  <si>
    <t>0023327</t>
  </si>
  <si>
    <t>0023328</t>
  </si>
  <si>
    <t>00350</t>
  </si>
  <si>
    <t>GIBRALTAR</t>
  </si>
  <si>
    <t>0035054</t>
  </si>
  <si>
    <t>0035056</t>
  </si>
  <si>
    <t>0035057</t>
  </si>
  <si>
    <t>0035058</t>
  </si>
  <si>
    <t>0088181</t>
  </si>
  <si>
    <t>GLOBALSTAR</t>
  </si>
  <si>
    <t>0088182</t>
  </si>
  <si>
    <t>0088183</t>
  </si>
  <si>
    <t>0088184</t>
  </si>
  <si>
    <t>0088185</t>
  </si>
  <si>
    <t>0088186</t>
  </si>
  <si>
    <t>0088187</t>
  </si>
  <si>
    <t>0088188</t>
  </si>
  <si>
    <t>0088189</t>
  </si>
  <si>
    <t>0088180</t>
  </si>
  <si>
    <t>GLOBALSTAR REGIONAL</t>
  </si>
  <si>
    <t>001473</t>
  </si>
  <si>
    <t>GRANADA IS.</t>
  </si>
  <si>
    <t>001473403</t>
  </si>
  <si>
    <t>001473404</t>
  </si>
  <si>
    <t>001473405</t>
  </si>
  <si>
    <t>001473406</t>
  </si>
  <si>
    <t>001473407</t>
  </si>
  <si>
    <t>001473409</t>
  </si>
  <si>
    <t>001473410</t>
  </si>
  <si>
    <t>001473414</t>
  </si>
  <si>
    <t>001473415</t>
  </si>
  <si>
    <t>001473416</t>
  </si>
  <si>
    <t>001473417</t>
  </si>
  <si>
    <t>001473418</t>
  </si>
  <si>
    <t>001473419</t>
  </si>
  <si>
    <t>001473420</t>
  </si>
  <si>
    <t>001473421</t>
  </si>
  <si>
    <t>001473422</t>
  </si>
  <si>
    <t>001473449</t>
  </si>
  <si>
    <t>001473456</t>
  </si>
  <si>
    <t>001473457</t>
  </si>
  <si>
    <t>001473458</t>
  </si>
  <si>
    <t>001473459</t>
  </si>
  <si>
    <t>001473533</t>
  </si>
  <si>
    <t>001473534</t>
  </si>
  <si>
    <t>001473535</t>
  </si>
  <si>
    <t>001473536</t>
  </si>
  <si>
    <t>001473537</t>
  </si>
  <si>
    <t>001473538</t>
  </si>
  <si>
    <t>0030</t>
  </si>
  <si>
    <t>GRECIA</t>
  </si>
  <si>
    <t>00306</t>
  </si>
  <si>
    <t>00299</t>
  </si>
  <si>
    <t>GROENLANDIA</t>
  </si>
  <si>
    <t>0029949</t>
  </si>
  <si>
    <t>002995</t>
  </si>
  <si>
    <t>00590</t>
  </si>
  <si>
    <t>GUADALUPE IS.</t>
  </si>
  <si>
    <t>00590690</t>
  </si>
  <si>
    <t>001671</t>
  </si>
  <si>
    <t>GUAM</t>
  </si>
  <si>
    <t>001671476</t>
  </si>
  <si>
    <t>001671687</t>
  </si>
  <si>
    <t>001671688</t>
  </si>
  <si>
    <t>001671689</t>
  </si>
  <si>
    <t>001671720</t>
  </si>
  <si>
    <t>001671721</t>
  </si>
  <si>
    <t>00502</t>
  </si>
  <si>
    <t>GUATEMALA</t>
  </si>
  <si>
    <t>005024</t>
  </si>
  <si>
    <t>005025</t>
  </si>
  <si>
    <t>00594</t>
  </si>
  <si>
    <t>GUAYANA FRANC.</t>
  </si>
  <si>
    <t>00594694</t>
  </si>
  <si>
    <t>00245</t>
  </si>
  <si>
    <t>GUINEA BISSAU</t>
  </si>
  <si>
    <t>00240</t>
  </si>
  <si>
    <t>GUINEA ECUAT.</t>
  </si>
  <si>
    <t>002402</t>
  </si>
  <si>
    <t>00224</t>
  </si>
  <si>
    <t>GUINEA REP.</t>
  </si>
  <si>
    <t>0022411</t>
  </si>
  <si>
    <t>0022412</t>
  </si>
  <si>
    <t>0022413</t>
  </si>
  <si>
    <t>0022440</t>
  </si>
  <si>
    <t>00592</t>
  </si>
  <si>
    <t>GUYANA</t>
  </si>
  <si>
    <t>005926</t>
  </si>
  <si>
    <t>00509</t>
  </si>
  <si>
    <t>HAITI</t>
  </si>
  <si>
    <t>005093</t>
  </si>
  <si>
    <t>005094</t>
  </si>
  <si>
    <t>00509525</t>
  </si>
  <si>
    <t>00509526</t>
  </si>
  <si>
    <t>00509527</t>
  </si>
  <si>
    <t>00509528</t>
  </si>
  <si>
    <t>00509529</t>
  </si>
  <si>
    <t>00509542</t>
  </si>
  <si>
    <t>00509548</t>
  </si>
  <si>
    <t>00509550</t>
  </si>
  <si>
    <t>00509551</t>
  </si>
  <si>
    <t>00509552</t>
  </si>
  <si>
    <t>00509554</t>
  </si>
  <si>
    <t>00509555</t>
  </si>
  <si>
    <t>00509556</t>
  </si>
  <si>
    <t>00509557</t>
  </si>
  <si>
    <t>00509558</t>
  </si>
  <si>
    <t>00509559</t>
  </si>
  <si>
    <t>00509561</t>
  </si>
  <si>
    <t>00509562</t>
  </si>
  <si>
    <t>00509563</t>
  </si>
  <si>
    <t>00509564</t>
  </si>
  <si>
    <t>00509565</t>
  </si>
  <si>
    <t>001808</t>
  </si>
  <si>
    <t>HAWAI</t>
  </si>
  <si>
    <t>001808205</t>
  </si>
  <si>
    <t>001808220</t>
  </si>
  <si>
    <t>001808221</t>
  </si>
  <si>
    <t>001808222</t>
  </si>
  <si>
    <t>001808223</t>
  </si>
  <si>
    <t>001808224</t>
  </si>
  <si>
    <t>001808225</t>
  </si>
  <si>
    <t>001808226</t>
  </si>
  <si>
    <t>001808227</t>
  </si>
  <si>
    <t>001808228</t>
  </si>
  <si>
    <t>001808231</t>
  </si>
  <si>
    <t>001808250</t>
  </si>
  <si>
    <t>001808251</t>
  </si>
  <si>
    <t>001808252</t>
  </si>
  <si>
    <t>001808255</t>
  </si>
  <si>
    <t>001808256</t>
  </si>
  <si>
    <t>001808258</t>
  </si>
  <si>
    <t>001808264</t>
  </si>
  <si>
    <t>001808265</t>
  </si>
  <si>
    <t>001808267</t>
  </si>
  <si>
    <t>001808268</t>
  </si>
  <si>
    <t>001808269</t>
  </si>
  <si>
    <t>001808271</t>
  </si>
  <si>
    <t>001808273</t>
  </si>
  <si>
    <t>001808276</t>
  </si>
  <si>
    <t>001808277</t>
  </si>
  <si>
    <t>001808278</t>
  </si>
  <si>
    <t>001808279</t>
  </si>
  <si>
    <t>001808280</t>
  </si>
  <si>
    <t>001808281</t>
  </si>
  <si>
    <t>001808282</t>
  </si>
  <si>
    <t>001808283</t>
  </si>
  <si>
    <t>001808284</t>
  </si>
  <si>
    <t>001808285</t>
  </si>
  <si>
    <t>001808286</t>
  </si>
  <si>
    <t>001808289</t>
  </si>
  <si>
    <t>001808291</t>
  </si>
  <si>
    <t>001808292</t>
  </si>
  <si>
    <t>001808294</t>
  </si>
  <si>
    <t>001808295</t>
  </si>
  <si>
    <t>001808298</t>
  </si>
  <si>
    <t>001808299</t>
  </si>
  <si>
    <t>00180834</t>
  </si>
  <si>
    <t>001808351</t>
  </si>
  <si>
    <t>001808352</t>
  </si>
  <si>
    <t>001808359</t>
  </si>
  <si>
    <t>001808361</t>
  </si>
  <si>
    <t>001808362</t>
  </si>
  <si>
    <t>001808363</t>
  </si>
  <si>
    <t>001808366</t>
  </si>
  <si>
    <t>001808371</t>
  </si>
  <si>
    <t>001808372</t>
  </si>
  <si>
    <t>001808375</t>
  </si>
  <si>
    <t>00180838</t>
  </si>
  <si>
    <t>001808391</t>
  </si>
  <si>
    <t>001808392</t>
  </si>
  <si>
    <t>001808398</t>
  </si>
  <si>
    <t>001808399</t>
  </si>
  <si>
    <t>001808429</t>
  </si>
  <si>
    <t>001808478</t>
  </si>
  <si>
    <t>001808497</t>
  </si>
  <si>
    <t>001808530</t>
  </si>
  <si>
    <t>001808542</t>
  </si>
  <si>
    <t>001808549</t>
  </si>
  <si>
    <t>001808551</t>
  </si>
  <si>
    <t>001808554</t>
  </si>
  <si>
    <t>001808557</t>
  </si>
  <si>
    <t>001808561</t>
  </si>
  <si>
    <t>001808563</t>
  </si>
  <si>
    <t>001808569</t>
  </si>
  <si>
    <t>001808570</t>
  </si>
  <si>
    <t>001808571</t>
  </si>
  <si>
    <t>001808574</t>
  </si>
  <si>
    <t>001808576</t>
  </si>
  <si>
    <t>001808577</t>
  </si>
  <si>
    <t>001808578</t>
  </si>
  <si>
    <t>001808580</t>
  </si>
  <si>
    <t>001808581</t>
  </si>
  <si>
    <t>001808582</t>
  </si>
  <si>
    <t>001808583</t>
  </si>
  <si>
    <t>001808584</t>
  </si>
  <si>
    <t>001808598</t>
  </si>
  <si>
    <t>001808631</t>
  </si>
  <si>
    <t>001808634</t>
  </si>
  <si>
    <t>001808635</t>
  </si>
  <si>
    <t>001808639</t>
  </si>
  <si>
    <t>001808640</t>
  </si>
  <si>
    <t>001808641</t>
  </si>
  <si>
    <t>001808644</t>
  </si>
  <si>
    <t>001808646</t>
  </si>
  <si>
    <t>001808647</t>
  </si>
  <si>
    <t>001808649</t>
  </si>
  <si>
    <t>001808651</t>
  </si>
  <si>
    <t>001808652</t>
  </si>
  <si>
    <t>001808658</t>
  </si>
  <si>
    <t>001808721</t>
  </si>
  <si>
    <t>001808722</t>
  </si>
  <si>
    <t>001808741</t>
  </si>
  <si>
    <t>001808753</t>
  </si>
  <si>
    <t>001808754</t>
  </si>
  <si>
    <t>001808772</t>
  </si>
  <si>
    <t>001808778</t>
  </si>
  <si>
    <t>001808779</t>
  </si>
  <si>
    <t>001808780</t>
  </si>
  <si>
    <t>001808781</t>
  </si>
  <si>
    <t>001808782</t>
  </si>
  <si>
    <t>001808783</t>
  </si>
  <si>
    <t>001808858</t>
  </si>
  <si>
    <t>001808870</t>
  </si>
  <si>
    <t>001808895</t>
  </si>
  <si>
    <t>001808896</t>
  </si>
  <si>
    <t>001808927</t>
  </si>
  <si>
    <t>001808936</t>
  </si>
  <si>
    <t>001808937</t>
  </si>
  <si>
    <t>001808938</t>
  </si>
  <si>
    <t>001808960</t>
  </si>
  <si>
    <t>001808987</t>
  </si>
  <si>
    <t>001808989</t>
  </si>
  <si>
    <t>001808990</t>
  </si>
  <si>
    <t>0031</t>
  </si>
  <si>
    <t>HOLANDA</t>
  </si>
  <si>
    <t>00316</t>
  </si>
  <si>
    <t>00504</t>
  </si>
  <si>
    <t>HONDURAS</t>
  </si>
  <si>
    <t>005043</t>
  </si>
  <si>
    <t>005048</t>
  </si>
  <si>
    <t>005049</t>
  </si>
  <si>
    <t>00852</t>
  </si>
  <si>
    <t>HONG KONG</t>
  </si>
  <si>
    <t>00852170</t>
  </si>
  <si>
    <t>00852171</t>
  </si>
  <si>
    <t>0085217218</t>
  </si>
  <si>
    <t>00852173</t>
  </si>
  <si>
    <t>0085217421</t>
  </si>
  <si>
    <t>00852175</t>
  </si>
  <si>
    <t>00852176</t>
  </si>
  <si>
    <t>00852177</t>
  </si>
  <si>
    <t>00852178</t>
  </si>
  <si>
    <t>00852179</t>
  </si>
  <si>
    <t>0085248</t>
  </si>
  <si>
    <t>00852490</t>
  </si>
  <si>
    <t>008526</t>
  </si>
  <si>
    <t>008529</t>
  </si>
  <si>
    <t>0085290</t>
  </si>
  <si>
    <t>0036</t>
  </si>
  <si>
    <t>HUNGRIA</t>
  </si>
  <si>
    <t>003620</t>
  </si>
  <si>
    <t>003630</t>
  </si>
  <si>
    <t>003660</t>
  </si>
  <si>
    <t>003670</t>
  </si>
  <si>
    <t>0091</t>
  </si>
  <si>
    <t>INDIA</t>
  </si>
  <si>
    <t>00919</t>
  </si>
  <si>
    <t>0062</t>
  </si>
  <si>
    <t>INDONESIA</t>
  </si>
  <si>
    <t>006228</t>
  </si>
  <si>
    <t>00628</t>
  </si>
  <si>
    <t>0062811</t>
  </si>
  <si>
    <t>0062812</t>
  </si>
  <si>
    <t>0062813</t>
  </si>
  <si>
    <t>0062815</t>
  </si>
  <si>
    <t>0062816</t>
  </si>
  <si>
    <t>0062818</t>
  </si>
  <si>
    <t>0062819</t>
  </si>
  <si>
    <t>006282</t>
  </si>
  <si>
    <t>00628681</t>
  </si>
  <si>
    <t>0087176</t>
  </si>
  <si>
    <t>INM.AT.E MINI M</t>
  </si>
  <si>
    <t>008713</t>
  </si>
  <si>
    <t>INM.AT.E STD B</t>
  </si>
  <si>
    <t>008716</t>
  </si>
  <si>
    <t>INM.AT.E STD M</t>
  </si>
  <si>
    <t>0087476</t>
  </si>
  <si>
    <t>INM.AT.O MINI M</t>
  </si>
  <si>
    <t>008743</t>
  </si>
  <si>
    <t>INM.AT.O STD B</t>
  </si>
  <si>
    <t>008746</t>
  </si>
  <si>
    <t>INM.AT.O STD M</t>
  </si>
  <si>
    <t>008711</t>
  </si>
  <si>
    <t>INM.ATL.ESTE(A)</t>
  </si>
  <si>
    <t>008718</t>
  </si>
  <si>
    <t>INM.ATL.ESTE(B)</t>
  </si>
  <si>
    <t>008714</t>
  </si>
  <si>
    <t>INM.ATL.ESTE(C)</t>
  </si>
  <si>
    <t>INM.ATL.ESTE(M)</t>
  </si>
  <si>
    <t>INM.ATL.ESTE(MM)</t>
  </si>
  <si>
    <t>008715</t>
  </si>
  <si>
    <t>INM.ATL.ESTE(SKYPHONE)</t>
  </si>
  <si>
    <t>008741</t>
  </si>
  <si>
    <t>INM.ATL.OESTE(A)</t>
  </si>
  <si>
    <t>008748</t>
  </si>
  <si>
    <t>INM.ATL.OESTE(B)</t>
  </si>
  <si>
    <t>008744</t>
  </si>
  <si>
    <t>INM.ATL.OESTE(C)</t>
  </si>
  <si>
    <t>INM.ATL.OESTE(M)</t>
  </si>
  <si>
    <t>008747</t>
  </si>
  <si>
    <t>INM.ATL.OESTE(MM)</t>
  </si>
  <si>
    <t>008745</t>
  </si>
  <si>
    <t>INM.ATL.OESTE(SKYPHONE)</t>
  </si>
  <si>
    <t>0087376</t>
  </si>
  <si>
    <t>INM.IND. MINI M</t>
  </si>
  <si>
    <t>008733</t>
  </si>
  <si>
    <t>INM.IND. STD B</t>
  </si>
  <si>
    <t>008736</t>
  </si>
  <si>
    <t>INM.IND. STD M</t>
  </si>
  <si>
    <t>008731</t>
  </si>
  <si>
    <t>INM.INDICO(A)</t>
  </si>
  <si>
    <t>008738</t>
  </si>
  <si>
    <t>INM.INDICO(B)</t>
  </si>
  <si>
    <t>008734</t>
  </si>
  <si>
    <t>INM.INDICO(C)</t>
  </si>
  <si>
    <t>INM.INDICO(M)</t>
  </si>
  <si>
    <t>INM.INDICO(MM)</t>
  </si>
  <si>
    <t>008735</t>
  </si>
  <si>
    <t>INM.INDICO(SKYPHONE)</t>
  </si>
  <si>
    <t>0087276</t>
  </si>
  <si>
    <t>INM.PAC. MINI M</t>
  </si>
  <si>
    <t>008723</t>
  </si>
  <si>
    <t>INM.PAC. STD B</t>
  </si>
  <si>
    <t>008726</t>
  </si>
  <si>
    <t>INM.PAC. STD M</t>
  </si>
  <si>
    <t>008721</t>
  </si>
  <si>
    <t>INM.PACIFICO(A)</t>
  </si>
  <si>
    <t>008728</t>
  </si>
  <si>
    <t>INM.PACIFICO(B)</t>
  </si>
  <si>
    <t>008724</t>
  </si>
  <si>
    <t>INM.PACIFICO(C)</t>
  </si>
  <si>
    <t>INM.PACIFICO(M)</t>
  </si>
  <si>
    <t>INM.PACIFICO(MM)</t>
  </si>
  <si>
    <t>008725</t>
  </si>
  <si>
    <t>INM.PACIFICO(SKYPHONE)</t>
  </si>
  <si>
    <t>0087076</t>
  </si>
  <si>
    <t>INM.SNAC MINI M</t>
  </si>
  <si>
    <t>008703</t>
  </si>
  <si>
    <t>INM.SNAC STD B</t>
  </si>
  <si>
    <t>008706</t>
  </si>
  <si>
    <t>INM.SNAC STD M</t>
  </si>
  <si>
    <t>INMAR AER ATL E</t>
  </si>
  <si>
    <t>INMAR AER ATL O</t>
  </si>
  <si>
    <t>INMAR AER IND</t>
  </si>
  <si>
    <t>INMAR AER PAC</t>
  </si>
  <si>
    <t>0087077</t>
  </si>
  <si>
    <t>INMARSAT BGAN FIJO</t>
  </si>
  <si>
    <t>INMARSAT MOBILE BGAN</t>
  </si>
  <si>
    <t>INMARSAT-ATL-OE</t>
  </si>
  <si>
    <t>008749</t>
  </si>
  <si>
    <t>INMARSAT-IND</t>
  </si>
  <si>
    <t>INMARSAT-PAC</t>
  </si>
  <si>
    <t>00964</t>
  </si>
  <si>
    <t>IRAK</t>
  </si>
  <si>
    <t>009647801</t>
  </si>
  <si>
    <t>009647802</t>
  </si>
  <si>
    <t>0098</t>
  </si>
  <si>
    <t>IRAN</t>
  </si>
  <si>
    <t>00989</t>
  </si>
  <si>
    <t>008816</t>
  </si>
  <si>
    <t>IRIDIUM MUNDIAL</t>
  </si>
  <si>
    <t>008817</t>
  </si>
  <si>
    <t>IRIDIUM REGIONAL</t>
  </si>
  <si>
    <t>00353</t>
  </si>
  <si>
    <t>IRLANDA</t>
  </si>
  <si>
    <t>003537</t>
  </si>
  <si>
    <t>IRLANDA MOVIL</t>
  </si>
  <si>
    <t>0035385</t>
  </si>
  <si>
    <t>0035386</t>
  </si>
  <si>
    <t>0035387</t>
  </si>
  <si>
    <t>0035388</t>
  </si>
  <si>
    <t>00353151</t>
  </si>
  <si>
    <t>IRLANDA-SERVICIO PREMIUM RATE</t>
  </si>
  <si>
    <t>003531520</t>
  </si>
  <si>
    <t>003531530</t>
  </si>
  <si>
    <t>003531540</t>
  </si>
  <si>
    <t>003531550</t>
  </si>
  <si>
    <t>003531559</t>
  </si>
  <si>
    <t>003531560</t>
  </si>
  <si>
    <t>003531570</t>
  </si>
  <si>
    <t>003531580</t>
  </si>
  <si>
    <t>003531590</t>
  </si>
  <si>
    <t>00354</t>
  </si>
  <si>
    <t>ISLANDIA</t>
  </si>
  <si>
    <t>00354398</t>
  </si>
  <si>
    <t>00354399</t>
  </si>
  <si>
    <t>0035462</t>
  </si>
  <si>
    <t>00354649</t>
  </si>
  <si>
    <t>00354659</t>
  </si>
  <si>
    <t>00354661</t>
  </si>
  <si>
    <t>00354662</t>
  </si>
  <si>
    <t>00354663</t>
  </si>
  <si>
    <t>00354664</t>
  </si>
  <si>
    <t>00354671</t>
  </si>
  <si>
    <t>00354672</t>
  </si>
  <si>
    <t>00354673</t>
  </si>
  <si>
    <t>00354674</t>
  </si>
  <si>
    <t>0035468</t>
  </si>
  <si>
    <t>0035469</t>
  </si>
  <si>
    <t>0035482</t>
  </si>
  <si>
    <t>0035483</t>
  </si>
  <si>
    <t>0035484</t>
  </si>
  <si>
    <t>0035485</t>
  </si>
  <si>
    <t>0035486</t>
  </si>
  <si>
    <t>0035487</t>
  </si>
  <si>
    <t>0035488</t>
  </si>
  <si>
    <t>0035489</t>
  </si>
  <si>
    <t>00500</t>
  </si>
  <si>
    <t>ISLAS MALVINAS</t>
  </si>
  <si>
    <t>00972</t>
  </si>
  <si>
    <t>ISRAEL</t>
  </si>
  <si>
    <t>0097215</t>
  </si>
  <si>
    <t>009725</t>
  </si>
  <si>
    <t>009726</t>
  </si>
  <si>
    <t>0039</t>
  </si>
  <si>
    <t>ITALIA</t>
  </si>
  <si>
    <t>00393</t>
  </si>
  <si>
    <t>0039310</t>
  </si>
  <si>
    <t>ITALIA ELSACOM</t>
  </si>
  <si>
    <t>0039373</t>
  </si>
  <si>
    <t>ITALIA H3G</t>
  </si>
  <si>
    <t>0039390</t>
  </si>
  <si>
    <t>0039391</t>
  </si>
  <si>
    <t>0039392</t>
  </si>
  <si>
    <t>0039393</t>
  </si>
  <si>
    <t>0039397</t>
  </si>
  <si>
    <t>0039319</t>
  </si>
  <si>
    <t>ITALIA INTERMATICA</t>
  </si>
  <si>
    <t>0039313</t>
  </si>
  <si>
    <t>ITALIA RFI</t>
  </si>
  <si>
    <t>001876</t>
  </si>
  <si>
    <t>JAMAICA</t>
  </si>
  <si>
    <t>00187621</t>
  </si>
  <si>
    <t>001876210</t>
  </si>
  <si>
    <t>0018763</t>
  </si>
  <si>
    <t>0018764</t>
  </si>
  <si>
    <t>0018765</t>
  </si>
  <si>
    <t>00187653</t>
  </si>
  <si>
    <t>00187654</t>
  </si>
  <si>
    <t>0018766</t>
  </si>
  <si>
    <t>001876700</t>
  </si>
  <si>
    <t>001876707</t>
  </si>
  <si>
    <t>00187677</t>
  </si>
  <si>
    <t>001876781</t>
  </si>
  <si>
    <t>001876782</t>
  </si>
  <si>
    <t>001876783</t>
  </si>
  <si>
    <t>001876784</t>
  </si>
  <si>
    <t>001876787</t>
  </si>
  <si>
    <t>001876788</t>
  </si>
  <si>
    <t>001876789</t>
  </si>
  <si>
    <t>001876790</t>
  </si>
  <si>
    <t>001876791</t>
  </si>
  <si>
    <t>001876792</t>
  </si>
  <si>
    <t>001876793</t>
  </si>
  <si>
    <t>001876796</t>
  </si>
  <si>
    <t>001876797</t>
  </si>
  <si>
    <t>001876798</t>
  </si>
  <si>
    <t>001876799</t>
  </si>
  <si>
    <t>001876804</t>
  </si>
  <si>
    <t>001876805</t>
  </si>
  <si>
    <t>001876806</t>
  </si>
  <si>
    <t>001876807</t>
  </si>
  <si>
    <t>001876808</t>
  </si>
  <si>
    <t>001876809</t>
  </si>
  <si>
    <t>00187681</t>
  </si>
  <si>
    <t>00187682</t>
  </si>
  <si>
    <t>00187683</t>
  </si>
  <si>
    <t>00187684</t>
  </si>
  <si>
    <t>00187685</t>
  </si>
  <si>
    <t>00187686</t>
  </si>
  <si>
    <t>00187687</t>
  </si>
  <si>
    <t>00187688</t>
  </si>
  <si>
    <t>00187689</t>
  </si>
  <si>
    <t>001876909</t>
  </si>
  <si>
    <t>001876919</t>
  </si>
  <si>
    <t>001876990</t>
  </si>
  <si>
    <t>001876995</t>
  </si>
  <si>
    <t>001876997</t>
  </si>
  <si>
    <t>001876999</t>
  </si>
  <si>
    <t>0081</t>
  </si>
  <si>
    <t>JAPON</t>
  </si>
  <si>
    <t>00817</t>
  </si>
  <si>
    <t>008170</t>
  </si>
  <si>
    <t>00818</t>
  </si>
  <si>
    <t>008180</t>
  </si>
  <si>
    <t>00819</t>
  </si>
  <si>
    <t>008190</t>
  </si>
  <si>
    <t>00962</t>
  </si>
  <si>
    <t>JORDANIA</t>
  </si>
  <si>
    <t>009627</t>
  </si>
  <si>
    <t>0096277</t>
  </si>
  <si>
    <t>0096279</t>
  </si>
  <si>
    <t>0085511</t>
  </si>
  <si>
    <t>KAMPUCHEA</t>
  </si>
  <si>
    <t>0085512</t>
  </si>
  <si>
    <t>0085515</t>
  </si>
  <si>
    <t>0085516</t>
  </si>
  <si>
    <t>0085517</t>
  </si>
  <si>
    <t>0085518</t>
  </si>
  <si>
    <t>007300</t>
  </si>
  <si>
    <t>KASAKSTAN</t>
  </si>
  <si>
    <t>00731</t>
  </si>
  <si>
    <t>0073129</t>
  </si>
  <si>
    <t>0073139</t>
  </si>
  <si>
    <t>0073149</t>
  </si>
  <si>
    <t>0073159</t>
  </si>
  <si>
    <t>0073179</t>
  </si>
  <si>
    <t>0073189</t>
  </si>
  <si>
    <t>00732</t>
  </si>
  <si>
    <t>0073219</t>
  </si>
  <si>
    <t>0073239</t>
  </si>
  <si>
    <t>0073249</t>
  </si>
  <si>
    <t>0073259</t>
  </si>
  <si>
    <t>0073269</t>
  </si>
  <si>
    <t>00732790</t>
  </si>
  <si>
    <t>00732791</t>
  </si>
  <si>
    <t>007333</t>
  </si>
  <si>
    <t>007336</t>
  </si>
  <si>
    <t>00757</t>
  </si>
  <si>
    <t>007700</t>
  </si>
  <si>
    <t>007701</t>
  </si>
  <si>
    <t>007702</t>
  </si>
  <si>
    <t>007705</t>
  </si>
  <si>
    <t>007707</t>
  </si>
  <si>
    <t>007727</t>
  </si>
  <si>
    <t>007777</t>
  </si>
  <si>
    <t>00254</t>
  </si>
  <si>
    <t>KENYA</t>
  </si>
  <si>
    <t>0025407</t>
  </si>
  <si>
    <t>002547</t>
  </si>
  <si>
    <t>00996</t>
  </si>
  <si>
    <t>KIRGUIZIA</t>
  </si>
  <si>
    <t>00996502</t>
  </si>
  <si>
    <t>00996517</t>
  </si>
  <si>
    <t>0099652</t>
  </si>
  <si>
    <t>00996555</t>
  </si>
  <si>
    <t>00686</t>
  </si>
  <si>
    <t>KIRIBATI</t>
  </si>
  <si>
    <t>0068630</t>
  </si>
  <si>
    <t>0068690</t>
  </si>
  <si>
    <t>0068693</t>
  </si>
  <si>
    <t>0068694</t>
  </si>
  <si>
    <t>0068695</t>
  </si>
  <si>
    <t>0068698</t>
  </si>
  <si>
    <t>0038128</t>
  </si>
  <si>
    <t>KOSOVO</t>
  </si>
  <si>
    <t>0038129</t>
  </si>
  <si>
    <t>00381380</t>
  </si>
  <si>
    <t>00381381</t>
  </si>
  <si>
    <t>00381382</t>
  </si>
  <si>
    <t>00381383</t>
  </si>
  <si>
    <t>00381384</t>
  </si>
  <si>
    <t>00381385</t>
  </si>
  <si>
    <t>00381386</t>
  </si>
  <si>
    <t>00381388</t>
  </si>
  <si>
    <t>00381389</t>
  </si>
  <si>
    <t>0038139</t>
  </si>
  <si>
    <t>0037744</t>
  </si>
  <si>
    <t>KOSOVO  MÓVIL POR MÓNACO</t>
  </si>
  <si>
    <t>0037745</t>
  </si>
  <si>
    <t>00965</t>
  </si>
  <si>
    <t>KUWAIT</t>
  </si>
  <si>
    <t>00856</t>
  </si>
  <si>
    <t>LAOS R.D.P.</t>
  </si>
  <si>
    <t>00266</t>
  </si>
  <si>
    <t>LESOTHO</t>
  </si>
  <si>
    <t>00266212</t>
  </si>
  <si>
    <t>002666</t>
  </si>
  <si>
    <t>0026685</t>
  </si>
  <si>
    <t>0026686</t>
  </si>
  <si>
    <t>00371</t>
  </si>
  <si>
    <t>LETONIA</t>
  </si>
  <si>
    <t>003712</t>
  </si>
  <si>
    <t>0037158</t>
  </si>
  <si>
    <t>0037160</t>
  </si>
  <si>
    <t>0037161</t>
  </si>
  <si>
    <t>0037162</t>
  </si>
  <si>
    <t>0037163</t>
  </si>
  <si>
    <t>0037164</t>
  </si>
  <si>
    <t>0037165</t>
  </si>
  <si>
    <t>0037167</t>
  </si>
  <si>
    <t>0037168</t>
  </si>
  <si>
    <t>003719</t>
  </si>
  <si>
    <t>00961</t>
  </si>
  <si>
    <t>LIBANO</t>
  </si>
  <si>
    <t>009613</t>
  </si>
  <si>
    <t>LIBANO MOVIL</t>
  </si>
  <si>
    <t>00231</t>
  </si>
  <si>
    <t>LIBERIA</t>
  </si>
  <si>
    <t>0023128</t>
  </si>
  <si>
    <t>0023138</t>
  </si>
  <si>
    <t>0023139</t>
  </si>
  <si>
    <t>002314</t>
  </si>
  <si>
    <t>0023140</t>
  </si>
  <si>
    <t>0023141</t>
  </si>
  <si>
    <t>0023146</t>
  </si>
  <si>
    <t>0023147</t>
  </si>
  <si>
    <t>002315</t>
  </si>
  <si>
    <t>0023150</t>
  </si>
  <si>
    <t>0023151</t>
  </si>
  <si>
    <t>0023164</t>
  </si>
  <si>
    <t>0023165</t>
  </si>
  <si>
    <t>002317</t>
  </si>
  <si>
    <t>00218</t>
  </si>
  <si>
    <t>LIBIA</t>
  </si>
  <si>
    <t>0021891</t>
  </si>
  <si>
    <t>LIBIA MOVIL</t>
  </si>
  <si>
    <t>0021892</t>
  </si>
  <si>
    <t>0021894</t>
  </si>
  <si>
    <t>004175</t>
  </si>
  <si>
    <t>LIECHTENSTEIN</t>
  </si>
  <si>
    <t>00423</t>
  </si>
  <si>
    <t>004236</t>
  </si>
  <si>
    <t>004237</t>
  </si>
  <si>
    <t>00370</t>
  </si>
  <si>
    <t>LITUANIA</t>
  </si>
  <si>
    <t>003706</t>
  </si>
  <si>
    <t>00352</t>
  </si>
  <si>
    <t>LUXEMBURGO</t>
  </si>
  <si>
    <t>00352020</t>
  </si>
  <si>
    <t>LUXENBOURG MOVIL</t>
  </si>
  <si>
    <t>00352021</t>
  </si>
  <si>
    <t>00352028</t>
  </si>
  <si>
    <t>003520291</t>
  </si>
  <si>
    <t>00352091</t>
  </si>
  <si>
    <t>00352098</t>
  </si>
  <si>
    <t>0035268</t>
  </si>
  <si>
    <t>00853</t>
  </si>
  <si>
    <t>MACAO</t>
  </si>
  <si>
    <t>008536</t>
  </si>
  <si>
    <t>00389</t>
  </si>
  <si>
    <t>MACEDONIA</t>
  </si>
  <si>
    <t>0038970</t>
  </si>
  <si>
    <t>0038971</t>
  </si>
  <si>
    <t>0038975</t>
  </si>
  <si>
    <t>00261</t>
  </si>
  <si>
    <t>MADAGASCAR</t>
  </si>
  <si>
    <t>002613</t>
  </si>
  <si>
    <t>0060</t>
  </si>
  <si>
    <t>MALASIA</t>
  </si>
  <si>
    <t>00265</t>
  </si>
  <si>
    <t>MALAWI</t>
  </si>
  <si>
    <t>002659</t>
  </si>
  <si>
    <t>0060112</t>
  </si>
  <si>
    <t>MALAYSIA MOVIL</t>
  </si>
  <si>
    <t>0060113</t>
  </si>
  <si>
    <t>0060114</t>
  </si>
  <si>
    <t>0060115</t>
  </si>
  <si>
    <t>0060116</t>
  </si>
  <si>
    <t>0060117</t>
  </si>
  <si>
    <t>0060118</t>
  </si>
  <si>
    <t>0060119</t>
  </si>
  <si>
    <t>0060132</t>
  </si>
  <si>
    <t>0060133</t>
  </si>
  <si>
    <t>0060134</t>
  </si>
  <si>
    <t>0060135</t>
  </si>
  <si>
    <t>0060136</t>
  </si>
  <si>
    <t>0060137</t>
  </si>
  <si>
    <t>0060138</t>
  </si>
  <si>
    <t>0060139</t>
  </si>
  <si>
    <t>00601852</t>
  </si>
  <si>
    <t>00601853</t>
  </si>
  <si>
    <t>00601854</t>
  </si>
  <si>
    <t>00601855</t>
  </si>
  <si>
    <t>00601856</t>
  </si>
  <si>
    <t>00601857</t>
  </si>
  <si>
    <t>006018580</t>
  </si>
  <si>
    <t>006018581</t>
  </si>
  <si>
    <t>006018586</t>
  </si>
  <si>
    <t>00601859</t>
  </si>
  <si>
    <t>00601866</t>
  </si>
  <si>
    <t>00601868</t>
  </si>
  <si>
    <t>00601869</t>
  </si>
  <si>
    <t>006018810</t>
  </si>
  <si>
    <t>006018816</t>
  </si>
  <si>
    <t>006018817</t>
  </si>
  <si>
    <t>006018818</t>
  </si>
  <si>
    <t>00601882</t>
  </si>
  <si>
    <t>00601883</t>
  </si>
  <si>
    <t>00601884</t>
  </si>
  <si>
    <t>00601885</t>
  </si>
  <si>
    <t>00601886</t>
  </si>
  <si>
    <t>00601887</t>
  </si>
  <si>
    <t>006018880</t>
  </si>
  <si>
    <t>006018881</t>
  </si>
  <si>
    <t>006018882</t>
  </si>
  <si>
    <t>006018883</t>
  </si>
  <si>
    <t>006018884</t>
  </si>
  <si>
    <t>006018885</t>
  </si>
  <si>
    <t>006018886</t>
  </si>
  <si>
    <t>006018887</t>
  </si>
  <si>
    <t>006018889</t>
  </si>
  <si>
    <t>00601889</t>
  </si>
  <si>
    <t>00601892</t>
  </si>
  <si>
    <t>00601893</t>
  </si>
  <si>
    <t>006018980</t>
  </si>
  <si>
    <t>006018981</t>
  </si>
  <si>
    <t>006018983</t>
  </si>
  <si>
    <t>006018985</t>
  </si>
  <si>
    <t>006018986</t>
  </si>
  <si>
    <t>006018987</t>
  </si>
  <si>
    <t>006018988</t>
  </si>
  <si>
    <t>006018989</t>
  </si>
  <si>
    <t>006018997</t>
  </si>
  <si>
    <t>00960</t>
  </si>
  <si>
    <t>MALDIVAS IS.</t>
  </si>
  <si>
    <t>009607</t>
  </si>
  <si>
    <t>0096077</t>
  </si>
  <si>
    <t>00223</t>
  </si>
  <si>
    <t>MALI</t>
  </si>
  <si>
    <t>00223277</t>
  </si>
  <si>
    <t>002236</t>
  </si>
  <si>
    <t>002237</t>
  </si>
  <si>
    <t>0022370</t>
  </si>
  <si>
    <t>0022372</t>
  </si>
  <si>
    <t>0022373</t>
  </si>
  <si>
    <t>0022374</t>
  </si>
  <si>
    <t>0022375</t>
  </si>
  <si>
    <t>0022390</t>
  </si>
  <si>
    <t>0022391</t>
  </si>
  <si>
    <t>0022392</t>
  </si>
  <si>
    <t>0022393</t>
  </si>
  <si>
    <t>0022394</t>
  </si>
  <si>
    <t>00356</t>
  </si>
  <si>
    <t>MALTA IS.</t>
  </si>
  <si>
    <t>0035679</t>
  </si>
  <si>
    <t>0035699</t>
  </si>
  <si>
    <t>00212</t>
  </si>
  <si>
    <t>MARRUECOS</t>
  </si>
  <si>
    <t>002121</t>
  </si>
  <si>
    <t>002124</t>
  </si>
  <si>
    <t>002125</t>
  </si>
  <si>
    <t>002126</t>
  </si>
  <si>
    <t>002127</t>
  </si>
  <si>
    <t>0021271</t>
  </si>
  <si>
    <t>0021272</t>
  </si>
  <si>
    <t>0021292</t>
  </si>
  <si>
    <t>00692</t>
  </si>
  <si>
    <t>MARSHALL IS.</t>
  </si>
  <si>
    <t>00596</t>
  </si>
  <si>
    <t>MARTINICA IS.</t>
  </si>
  <si>
    <t>00230</t>
  </si>
  <si>
    <t>MAURICIO</t>
  </si>
  <si>
    <t>0023025</t>
  </si>
  <si>
    <t>00230421</t>
  </si>
  <si>
    <t>00230422</t>
  </si>
  <si>
    <t>00230423</t>
  </si>
  <si>
    <t>0023049</t>
  </si>
  <si>
    <t>00230720</t>
  </si>
  <si>
    <t>00230721</t>
  </si>
  <si>
    <t>00230729</t>
  </si>
  <si>
    <t>0023073</t>
  </si>
  <si>
    <t>0023075</t>
  </si>
  <si>
    <t>0023076</t>
  </si>
  <si>
    <t>0023077</t>
  </si>
  <si>
    <t>00222</t>
  </si>
  <si>
    <t>MAURITANIA</t>
  </si>
  <si>
    <t>0022263</t>
  </si>
  <si>
    <t>0022264</t>
  </si>
  <si>
    <t>0022267</t>
  </si>
  <si>
    <t>0022269</t>
  </si>
  <si>
    <t>0052</t>
  </si>
  <si>
    <t>MEXICO</t>
  </si>
  <si>
    <t>00521</t>
  </si>
  <si>
    <t>00373</t>
  </si>
  <si>
    <t>MOLDOVA</t>
  </si>
  <si>
    <t>003736</t>
  </si>
  <si>
    <t>MOLVODA</t>
  </si>
  <si>
    <t>0037369</t>
  </si>
  <si>
    <t>003737</t>
  </si>
  <si>
    <t>0037379</t>
  </si>
  <si>
    <t>0037391</t>
  </si>
  <si>
    <t>0037392</t>
  </si>
  <si>
    <t>0037394</t>
  </si>
  <si>
    <t>0037395</t>
  </si>
  <si>
    <t>00377</t>
  </si>
  <si>
    <t>MONACO</t>
  </si>
  <si>
    <t>003774</t>
  </si>
  <si>
    <t>MONACO MOVIL</t>
  </si>
  <si>
    <t>003776</t>
  </si>
  <si>
    <t>00976</t>
  </si>
  <si>
    <t>MONGOLIA</t>
  </si>
  <si>
    <t>00382</t>
  </si>
  <si>
    <t>MONTENEGRO FIJO</t>
  </si>
  <si>
    <t>003826</t>
  </si>
  <si>
    <t>MONTENEGRO MOVIL</t>
  </si>
  <si>
    <t>001664</t>
  </si>
  <si>
    <t>MONTSERRAT</t>
  </si>
  <si>
    <t>001664492</t>
  </si>
  <si>
    <t>00258</t>
  </si>
  <si>
    <t>MOZAMBIQUE</t>
  </si>
  <si>
    <t>0025882</t>
  </si>
  <si>
    <t>00675</t>
  </si>
  <si>
    <t>N.GUINEA-PAPUA</t>
  </si>
  <si>
    <t>0067568</t>
  </si>
  <si>
    <t>0067569</t>
  </si>
  <si>
    <t>00264</t>
  </si>
  <si>
    <t>NAMIBIA</t>
  </si>
  <si>
    <t>002648</t>
  </si>
  <si>
    <t>0026481</t>
  </si>
  <si>
    <t>00674</t>
  </si>
  <si>
    <t>NAURU REP.</t>
  </si>
  <si>
    <t>00977</t>
  </si>
  <si>
    <t>NEPAL</t>
  </si>
  <si>
    <t>009779810</t>
  </si>
  <si>
    <t>00505</t>
  </si>
  <si>
    <t>NICARAGUA</t>
  </si>
  <si>
    <t>00505141</t>
  </si>
  <si>
    <t>00505142</t>
  </si>
  <si>
    <t>00505146</t>
  </si>
  <si>
    <t>0050550</t>
  </si>
  <si>
    <t>00505772</t>
  </si>
  <si>
    <t>00505773</t>
  </si>
  <si>
    <t>00505776</t>
  </si>
  <si>
    <t>00505777</t>
  </si>
  <si>
    <t>00505778</t>
  </si>
  <si>
    <t>00505779</t>
  </si>
  <si>
    <t>005058</t>
  </si>
  <si>
    <t>00505860</t>
  </si>
  <si>
    <t>00505861</t>
  </si>
  <si>
    <t>00505862</t>
  </si>
  <si>
    <t>00505863</t>
  </si>
  <si>
    <t>00505870</t>
  </si>
  <si>
    <t>0050588</t>
  </si>
  <si>
    <t>00505890</t>
  </si>
  <si>
    <t>00505891</t>
  </si>
  <si>
    <t>00505892</t>
  </si>
  <si>
    <t>00505893</t>
  </si>
  <si>
    <t>00227</t>
  </si>
  <si>
    <t>NIGER</t>
  </si>
  <si>
    <t>0022790</t>
  </si>
  <si>
    <t>0022793</t>
  </si>
  <si>
    <t>0022794</t>
  </si>
  <si>
    <t>0022796</t>
  </si>
  <si>
    <t>0022797</t>
  </si>
  <si>
    <t>0022798</t>
  </si>
  <si>
    <t>0022799</t>
  </si>
  <si>
    <t>00234</t>
  </si>
  <si>
    <t>NIGERIA</t>
  </si>
  <si>
    <t>002341320</t>
  </si>
  <si>
    <t>0023480</t>
  </si>
  <si>
    <t>0023490</t>
  </si>
  <si>
    <t>00683</t>
  </si>
  <si>
    <t>NIUE IS.</t>
  </si>
  <si>
    <t>0047</t>
  </si>
  <si>
    <t>NORUEGA</t>
  </si>
  <si>
    <t>00471</t>
  </si>
  <si>
    <t>NORUEGA  SERVICIOS ESPECIALES</t>
  </si>
  <si>
    <t>00472</t>
  </si>
  <si>
    <t>00473</t>
  </si>
  <si>
    <t>00474</t>
  </si>
  <si>
    <t>00475</t>
  </si>
  <si>
    <t>00476</t>
  </si>
  <si>
    <t>00477</t>
  </si>
  <si>
    <t>00478</t>
  </si>
  <si>
    <t>0047810</t>
  </si>
  <si>
    <t>0047815</t>
  </si>
  <si>
    <t>00479</t>
  </si>
  <si>
    <t>00687</t>
  </si>
  <si>
    <t>NUEVA CALEDONIA</t>
  </si>
  <si>
    <t>0068766</t>
  </si>
  <si>
    <t>0068775</t>
  </si>
  <si>
    <t>0068776</t>
  </si>
  <si>
    <t>0068777</t>
  </si>
  <si>
    <t>0068778</t>
  </si>
  <si>
    <t>0068779</t>
  </si>
  <si>
    <t>0068780</t>
  </si>
  <si>
    <t>0068781</t>
  </si>
  <si>
    <t>0068782</t>
  </si>
  <si>
    <t>0068783</t>
  </si>
  <si>
    <t>0068784</t>
  </si>
  <si>
    <t>0068785</t>
  </si>
  <si>
    <t>0068786</t>
  </si>
  <si>
    <t>0068787</t>
  </si>
  <si>
    <t>0068789</t>
  </si>
  <si>
    <t>006879</t>
  </si>
  <si>
    <t>0064</t>
  </si>
  <si>
    <t>NUEVA ZELANDIA</t>
  </si>
  <si>
    <t>006420</t>
  </si>
  <si>
    <t>006421</t>
  </si>
  <si>
    <t>0064241</t>
  </si>
  <si>
    <t>0064242</t>
  </si>
  <si>
    <t>006425</t>
  </si>
  <si>
    <t>006427</t>
  </si>
  <si>
    <t>006429</t>
  </si>
  <si>
    <t>00968</t>
  </si>
  <si>
    <t>OMAN</t>
  </si>
  <si>
    <t>0096892</t>
  </si>
  <si>
    <t>0096893</t>
  </si>
  <si>
    <t>0096894</t>
  </si>
  <si>
    <t>0096895</t>
  </si>
  <si>
    <t>00968970</t>
  </si>
  <si>
    <t>0092</t>
  </si>
  <si>
    <t>PAKISTAN</t>
  </si>
  <si>
    <t>0092300</t>
  </si>
  <si>
    <t>PAKISTAN MOVIL</t>
  </si>
  <si>
    <t>0092303</t>
  </si>
  <si>
    <t>0092320</t>
  </si>
  <si>
    <t>00680</t>
  </si>
  <si>
    <t>PALAU</t>
  </si>
  <si>
    <t>00680775</t>
  </si>
  <si>
    <t>00680776</t>
  </si>
  <si>
    <t>00680777</t>
  </si>
  <si>
    <t>00680778</t>
  </si>
  <si>
    <t>00680779</t>
  </si>
  <si>
    <t>00970</t>
  </si>
  <si>
    <t>PALESTINA</t>
  </si>
  <si>
    <t>0097056</t>
  </si>
  <si>
    <t>0097057</t>
  </si>
  <si>
    <t>0097058</t>
  </si>
  <si>
    <t>0097059</t>
  </si>
  <si>
    <t>0097222</t>
  </si>
  <si>
    <t>0097242</t>
  </si>
  <si>
    <t>0097256</t>
  </si>
  <si>
    <t>0097259</t>
  </si>
  <si>
    <t>0097282</t>
  </si>
  <si>
    <t>0097292</t>
  </si>
  <si>
    <t>00507</t>
  </si>
  <si>
    <t>PANAMA</t>
  </si>
  <si>
    <t>00507208</t>
  </si>
  <si>
    <t>00507408</t>
  </si>
  <si>
    <t>00507418</t>
  </si>
  <si>
    <t>005075</t>
  </si>
  <si>
    <t>005076</t>
  </si>
  <si>
    <t>00507708</t>
  </si>
  <si>
    <t>00507718</t>
  </si>
  <si>
    <t>00595</t>
  </si>
  <si>
    <t>PARAGUAY</t>
  </si>
  <si>
    <t>00595961</t>
  </si>
  <si>
    <t>005959616</t>
  </si>
  <si>
    <t>00595971</t>
  </si>
  <si>
    <t>00595972</t>
  </si>
  <si>
    <t>00595973</t>
  </si>
  <si>
    <t>00595975</t>
  </si>
  <si>
    <t>00595976</t>
  </si>
  <si>
    <t>00595981</t>
  </si>
  <si>
    <t>00595982</t>
  </si>
  <si>
    <t>00595983</t>
  </si>
  <si>
    <t>00595984</t>
  </si>
  <si>
    <t>00595985</t>
  </si>
  <si>
    <t>00595991</t>
  </si>
  <si>
    <t>00595992</t>
  </si>
  <si>
    <t>00595993</t>
  </si>
  <si>
    <t>00595994</t>
  </si>
  <si>
    <t>00595995</t>
  </si>
  <si>
    <t>0059521</t>
  </si>
  <si>
    <t>PARAGUAY - ASUNCION</t>
  </si>
  <si>
    <t>0051</t>
  </si>
  <si>
    <t>PERU</t>
  </si>
  <si>
    <t>005119</t>
  </si>
  <si>
    <t>0051419</t>
  </si>
  <si>
    <t>0051429</t>
  </si>
  <si>
    <t>0051439</t>
  </si>
  <si>
    <t>0051449</t>
  </si>
  <si>
    <t>0051519</t>
  </si>
  <si>
    <t>0051529</t>
  </si>
  <si>
    <t>0051539</t>
  </si>
  <si>
    <t>0051549</t>
  </si>
  <si>
    <t>0051569</t>
  </si>
  <si>
    <t>0051619</t>
  </si>
  <si>
    <t>0051629</t>
  </si>
  <si>
    <t>0051639</t>
  </si>
  <si>
    <t>0051649</t>
  </si>
  <si>
    <t>0051659</t>
  </si>
  <si>
    <t>0051669</t>
  </si>
  <si>
    <t>0051679</t>
  </si>
  <si>
    <t>0051729</t>
  </si>
  <si>
    <t>0051739</t>
  </si>
  <si>
    <t>0051749</t>
  </si>
  <si>
    <t>0051769</t>
  </si>
  <si>
    <t>0051829</t>
  </si>
  <si>
    <t>0051839</t>
  </si>
  <si>
    <t>0051849</t>
  </si>
  <si>
    <t>005118</t>
  </si>
  <si>
    <t>PERU  - RURAL</t>
  </si>
  <si>
    <t>0051418</t>
  </si>
  <si>
    <t>0051428</t>
  </si>
  <si>
    <t>0051438</t>
  </si>
  <si>
    <t>0051448</t>
  </si>
  <si>
    <t>0051518</t>
  </si>
  <si>
    <t>0051528</t>
  </si>
  <si>
    <t>0051538</t>
  </si>
  <si>
    <t>0051548</t>
  </si>
  <si>
    <t>0051568</t>
  </si>
  <si>
    <t>0051618</t>
  </si>
  <si>
    <t>0051628</t>
  </si>
  <si>
    <t>0051638</t>
  </si>
  <si>
    <t>0051648</t>
  </si>
  <si>
    <t>0051658</t>
  </si>
  <si>
    <t>0051668</t>
  </si>
  <si>
    <t>0051678</t>
  </si>
  <si>
    <t>0051728</t>
  </si>
  <si>
    <t>0051738</t>
  </si>
  <si>
    <t>0051748</t>
  </si>
  <si>
    <t>0051768</t>
  </si>
  <si>
    <t>0051828</t>
  </si>
  <si>
    <t>0051838</t>
  </si>
  <si>
    <t>0051848</t>
  </si>
  <si>
    <t>004480</t>
  </si>
  <si>
    <t>PERÚ-MÓVIL-TESAM</t>
  </si>
  <si>
    <t>005199820</t>
  </si>
  <si>
    <t>005199821</t>
  </si>
  <si>
    <t>00508</t>
  </si>
  <si>
    <t>POLINESIA FCESA</t>
  </si>
  <si>
    <t>00689</t>
  </si>
  <si>
    <t>0048</t>
  </si>
  <si>
    <t>POLONIA</t>
  </si>
  <si>
    <t>004850</t>
  </si>
  <si>
    <t>POLONIA MOVIL</t>
  </si>
  <si>
    <t>004851</t>
  </si>
  <si>
    <t>004860</t>
  </si>
  <si>
    <t>004866</t>
  </si>
  <si>
    <t>004869</t>
  </si>
  <si>
    <t>004888</t>
  </si>
  <si>
    <t>004890</t>
  </si>
  <si>
    <t>00482219888</t>
  </si>
  <si>
    <t>POLONIA NÚMEROS ESPECIALES</t>
  </si>
  <si>
    <t>00482219889</t>
  </si>
  <si>
    <t>00351</t>
  </si>
  <si>
    <t>PORTUGAL</t>
  </si>
  <si>
    <t>0035160</t>
  </si>
  <si>
    <t>0035169</t>
  </si>
  <si>
    <t>0035190</t>
  </si>
  <si>
    <t>0035191</t>
  </si>
  <si>
    <t>0035192</t>
  </si>
  <si>
    <t>0035193</t>
  </si>
  <si>
    <t>0035195</t>
  </si>
  <si>
    <t>0035196</t>
  </si>
  <si>
    <t>0035197</t>
  </si>
  <si>
    <t>0035198</t>
  </si>
  <si>
    <t>001787</t>
  </si>
  <si>
    <t>PUERTO RICO</t>
  </si>
  <si>
    <t>001787208</t>
  </si>
  <si>
    <t>001787210</t>
  </si>
  <si>
    <t>001787225</t>
  </si>
  <si>
    <t>001787226</t>
  </si>
  <si>
    <t>001787228</t>
  </si>
  <si>
    <t>00178723</t>
  </si>
  <si>
    <t>00178724</t>
  </si>
  <si>
    <t>001787295</t>
  </si>
  <si>
    <t>001787297</t>
  </si>
  <si>
    <t>001787298</t>
  </si>
  <si>
    <t>001787299</t>
  </si>
  <si>
    <t>001787301</t>
  </si>
  <si>
    <t>001787302</t>
  </si>
  <si>
    <t>001787303</t>
  </si>
  <si>
    <t>001787304</t>
  </si>
  <si>
    <t>001787305</t>
  </si>
  <si>
    <t>001787306</t>
  </si>
  <si>
    <t>001787308</t>
  </si>
  <si>
    <t>001787309</t>
  </si>
  <si>
    <t>001787310</t>
  </si>
  <si>
    <t>001787312</t>
  </si>
  <si>
    <t>001787313</t>
  </si>
  <si>
    <t>001787314</t>
  </si>
  <si>
    <t>001787315</t>
  </si>
  <si>
    <t>001787316</t>
  </si>
  <si>
    <t>001787317</t>
  </si>
  <si>
    <t>001787318</t>
  </si>
  <si>
    <t>001787319</t>
  </si>
  <si>
    <t>00178732</t>
  </si>
  <si>
    <t>00178733</t>
  </si>
  <si>
    <t>001787341</t>
  </si>
  <si>
    <t>001787342</t>
  </si>
  <si>
    <t>001787344</t>
  </si>
  <si>
    <t>001787346</t>
  </si>
  <si>
    <t>001787347</t>
  </si>
  <si>
    <t>001787349</t>
  </si>
  <si>
    <t>001787356</t>
  </si>
  <si>
    <t>001787358</t>
  </si>
  <si>
    <t>001787360</t>
  </si>
  <si>
    <t>001787361</t>
  </si>
  <si>
    <t>001787362</t>
  </si>
  <si>
    <t>001787363</t>
  </si>
  <si>
    <t>001787364</t>
  </si>
  <si>
    <t>001787365</t>
  </si>
  <si>
    <t>001787366</t>
  </si>
  <si>
    <t>001787367</t>
  </si>
  <si>
    <t>001787368</t>
  </si>
  <si>
    <t>001787370</t>
  </si>
  <si>
    <t>001787374</t>
  </si>
  <si>
    <t>001787375</t>
  </si>
  <si>
    <t>001787376</t>
  </si>
  <si>
    <t>001787377</t>
  </si>
  <si>
    <t>001787378</t>
  </si>
  <si>
    <t>001787379</t>
  </si>
  <si>
    <t>001787380</t>
  </si>
  <si>
    <t>001787381</t>
  </si>
  <si>
    <t>001787382</t>
  </si>
  <si>
    <t>001787383</t>
  </si>
  <si>
    <t>001787384</t>
  </si>
  <si>
    <t>001787385</t>
  </si>
  <si>
    <t>001787386</t>
  </si>
  <si>
    <t>001787389</t>
  </si>
  <si>
    <t>001787390</t>
  </si>
  <si>
    <t>001787391</t>
  </si>
  <si>
    <t>001787392</t>
  </si>
  <si>
    <t>001787396</t>
  </si>
  <si>
    <t>001787397</t>
  </si>
  <si>
    <t>001787398</t>
  </si>
  <si>
    <t>001787399</t>
  </si>
  <si>
    <t>00178740</t>
  </si>
  <si>
    <t>001787410</t>
  </si>
  <si>
    <t>001787412</t>
  </si>
  <si>
    <t>001787413</t>
  </si>
  <si>
    <t>001787414</t>
  </si>
  <si>
    <t>001787415</t>
  </si>
  <si>
    <t>001787416</t>
  </si>
  <si>
    <t>001787417</t>
  </si>
  <si>
    <t>001787418</t>
  </si>
  <si>
    <t>001787419</t>
  </si>
  <si>
    <t>00178742</t>
  </si>
  <si>
    <t>001787430</t>
  </si>
  <si>
    <t>001787432</t>
  </si>
  <si>
    <t>001787435</t>
  </si>
  <si>
    <t>001787437</t>
  </si>
  <si>
    <t>001787439</t>
  </si>
  <si>
    <t>001787445</t>
  </si>
  <si>
    <t>001787446</t>
  </si>
  <si>
    <t>001787447</t>
  </si>
  <si>
    <t>001787448</t>
  </si>
  <si>
    <t>001787449</t>
  </si>
  <si>
    <t>001787450</t>
  </si>
  <si>
    <t>001787451</t>
  </si>
  <si>
    <t>001787455</t>
  </si>
  <si>
    <t>001787459</t>
  </si>
  <si>
    <t>001787460</t>
  </si>
  <si>
    <t>001787461</t>
  </si>
  <si>
    <t>001787462</t>
  </si>
  <si>
    <t>001787463</t>
  </si>
  <si>
    <t>001787464</t>
  </si>
  <si>
    <t>001787466</t>
  </si>
  <si>
    <t>001787467</t>
  </si>
  <si>
    <t>001787468</t>
  </si>
  <si>
    <t>001787469</t>
  </si>
  <si>
    <t>001787470</t>
  </si>
  <si>
    <t>001787472</t>
  </si>
  <si>
    <t>001787475</t>
  </si>
  <si>
    <t>001787476</t>
  </si>
  <si>
    <t>001787478</t>
  </si>
  <si>
    <t>001787484</t>
  </si>
  <si>
    <t>001787485</t>
  </si>
  <si>
    <t>001787486</t>
  </si>
  <si>
    <t>001787487</t>
  </si>
  <si>
    <t>001787488</t>
  </si>
  <si>
    <t>001787489</t>
  </si>
  <si>
    <t>00178749</t>
  </si>
  <si>
    <t>00178750</t>
  </si>
  <si>
    <t>001787510</t>
  </si>
  <si>
    <t>001787512</t>
  </si>
  <si>
    <t>001787525</t>
  </si>
  <si>
    <t>001787527</t>
  </si>
  <si>
    <t>001787528</t>
  </si>
  <si>
    <t>001787530</t>
  </si>
  <si>
    <t>001787531</t>
  </si>
  <si>
    <t>001787532</t>
  </si>
  <si>
    <t>001787533</t>
  </si>
  <si>
    <t>001787536</t>
  </si>
  <si>
    <t>001787539</t>
  </si>
  <si>
    <t>001787547</t>
  </si>
  <si>
    <t>001787548</t>
  </si>
  <si>
    <t>001787552</t>
  </si>
  <si>
    <t>001787554</t>
  </si>
  <si>
    <t>001787558</t>
  </si>
  <si>
    <t>001787562</t>
  </si>
  <si>
    <t>001787567</t>
  </si>
  <si>
    <t>001787568</t>
  </si>
  <si>
    <t>001787592</t>
  </si>
  <si>
    <t>001787593</t>
  </si>
  <si>
    <t>001787594</t>
  </si>
  <si>
    <t>001787596</t>
  </si>
  <si>
    <t>001787598</t>
  </si>
  <si>
    <t>001787599</t>
  </si>
  <si>
    <t>001787602</t>
  </si>
  <si>
    <t>001787603</t>
  </si>
  <si>
    <t>001787604</t>
  </si>
  <si>
    <t>001787605</t>
  </si>
  <si>
    <t>001787607</t>
  </si>
  <si>
    <t>001787608</t>
  </si>
  <si>
    <t>001787610</t>
  </si>
  <si>
    <t>001787612</t>
  </si>
  <si>
    <t>001787613</t>
  </si>
  <si>
    <t>001787614</t>
  </si>
  <si>
    <t>001787615</t>
  </si>
  <si>
    <t>001787616</t>
  </si>
  <si>
    <t>001787617</t>
  </si>
  <si>
    <t>001787618</t>
  </si>
  <si>
    <t>001787627</t>
  </si>
  <si>
    <t>001787628</t>
  </si>
  <si>
    <t>00178763</t>
  </si>
  <si>
    <t>001787640</t>
  </si>
  <si>
    <t>001787642</t>
  </si>
  <si>
    <t>001787643</t>
  </si>
  <si>
    <t>001787644</t>
  </si>
  <si>
    <t>001787645</t>
  </si>
  <si>
    <t>001787646</t>
  </si>
  <si>
    <t>001787647</t>
  </si>
  <si>
    <t>001787648</t>
  </si>
  <si>
    <t>001787649</t>
  </si>
  <si>
    <t>001787691</t>
  </si>
  <si>
    <t>001787696</t>
  </si>
  <si>
    <t>001787697</t>
  </si>
  <si>
    <t>001787698</t>
  </si>
  <si>
    <t>001787717</t>
  </si>
  <si>
    <t>001787810</t>
  </si>
  <si>
    <t>001787910</t>
  </si>
  <si>
    <t>001787913</t>
  </si>
  <si>
    <t>001787918</t>
  </si>
  <si>
    <t>001787921</t>
  </si>
  <si>
    <t>001787922</t>
  </si>
  <si>
    <t>001787923</t>
  </si>
  <si>
    <t>001787925</t>
  </si>
  <si>
    <t>001787938</t>
  </si>
  <si>
    <t>001787940</t>
  </si>
  <si>
    <t>001787941</t>
  </si>
  <si>
    <t>001787943</t>
  </si>
  <si>
    <t>001787946</t>
  </si>
  <si>
    <t>001787949</t>
  </si>
  <si>
    <t>001787960</t>
  </si>
  <si>
    <t>001787962</t>
  </si>
  <si>
    <t>001787963</t>
  </si>
  <si>
    <t>001787964</t>
  </si>
  <si>
    <t>001787967</t>
  </si>
  <si>
    <t>001787969</t>
  </si>
  <si>
    <t>001787972</t>
  </si>
  <si>
    <t>001787983</t>
  </si>
  <si>
    <t>001787987</t>
  </si>
  <si>
    <t>001787989</t>
  </si>
  <si>
    <t>001787990</t>
  </si>
  <si>
    <t>001787994</t>
  </si>
  <si>
    <t>001787996</t>
  </si>
  <si>
    <t>001939</t>
  </si>
  <si>
    <t>00974</t>
  </si>
  <si>
    <t>QATAR</t>
  </si>
  <si>
    <t>0097421</t>
  </si>
  <si>
    <t>0097422</t>
  </si>
  <si>
    <t>0097428</t>
  </si>
  <si>
    <t>0097450</t>
  </si>
  <si>
    <t>0097452</t>
  </si>
  <si>
    <t>0097453</t>
  </si>
  <si>
    <t>0097454</t>
  </si>
  <si>
    <t>0097455</t>
  </si>
  <si>
    <t>0097456</t>
  </si>
  <si>
    <t>0097457</t>
  </si>
  <si>
    <t>0097458</t>
  </si>
  <si>
    <t>0097459</t>
  </si>
  <si>
    <t>0097464</t>
  </si>
  <si>
    <t>0097467</t>
  </si>
  <si>
    <t>0097469</t>
  </si>
  <si>
    <t>004450</t>
  </si>
  <si>
    <t>REINO UNIDO FREEPHONE</t>
  </si>
  <si>
    <t>0044</t>
  </si>
  <si>
    <t>REINO UNIDO G.BRETANA</t>
  </si>
  <si>
    <t>00447</t>
  </si>
  <si>
    <t>0044871</t>
  </si>
  <si>
    <t>REINO UNIDO NATIONAL CALL PLUS</t>
  </si>
  <si>
    <t>0044872</t>
  </si>
  <si>
    <t>004470</t>
  </si>
  <si>
    <t>REINO UNIDO PERSONAL  NUMBERS</t>
  </si>
  <si>
    <t>00243</t>
  </si>
  <si>
    <t>REP.D.CONGO/ZAIRE</t>
  </si>
  <si>
    <t>0024368</t>
  </si>
  <si>
    <t>0024381</t>
  </si>
  <si>
    <t>0024397</t>
  </si>
  <si>
    <t>0024398</t>
  </si>
  <si>
    <t>0024399</t>
  </si>
  <si>
    <t>00242</t>
  </si>
  <si>
    <t>REP.P.CONGO</t>
  </si>
  <si>
    <t>002420</t>
  </si>
  <si>
    <t>002427</t>
  </si>
  <si>
    <t>002429</t>
  </si>
  <si>
    <t>00262</t>
  </si>
  <si>
    <t>REUNION IS.</t>
  </si>
  <si>
    <t>00262262</t>
  </si>
  <si>
    <t>002626</t>
  </si>
  <si>
    <t>00262692</t>
  </si>
  <si>
    <t>00250</t>
  </si>
  <si>
    <t>RUANDA</t>
  </si>
  <si>
    <t>00250081</t>
  </si>
  <si>
    <t>00250082</t>
  </si>
  <si>
    <t>00250083</t>
  </si>
  <si>
    <t>00250084</t>
  </si>
  <si>
    <t>00250085</t>
  </si>
  <si>
    <t>002505</t>
  </si>
  <si>
    <t>0025062</t>
  </si>
  <si>
    <t>0025064</t>
  </si>
  <si>
    <t>0025068</t>
  </si>
  <si>
    <t>0025070</t>
  </si>
  <si>
    <t>0025089</t>
  </si>
  <si>
    <t>0040</t>
  </si>
  <si>
    <t>RUMANIA</t>
  </si>
  <si>
    <t>0040226</t>
  </si>
  <si>
    <t>004074</t>
  </si>
  <si>
    <t>004075</t>
  </si>
  <si>
    <t>00409</t>
  </si>
  <si>
    <t>004033751</t>
  </si>
  <si>
    <t>RUMANIA MOVIL SERIVIOS ESP</t>
  </si>
  <si>
    <t>004033851</t>
  </si>
  <si>
    <t>004033951</t>
  </si>
  <si>
    <t>00407</t>
  </si>
  <si>
    <t>007</t>
  </si>
  <si>
    <t>RUSIA FED. CEI</t>
  </si>
  <si>
    <t>007095</t>
  </si>
  <si>
    <t>007503</t>
  </si>
  <si>
    <t>0079</t>
  </si>
  <si>
    <t>RUSIA MOVIL</t>
  </si>
  <si>
    <t>007954</t>
  </si>
  <si>
    <t>RUSIA-MOVIL GLOBAL STAR</t>
  </si>
  <si>
    <t>S.PEDRO Y MIQ.</t>
  </si>
  <si>
    <t>00239</t>
  </si>
  <si>
    <t>S.TOME Y PRINC.</t>
  </si>
  <si>
    <t>002399</t>
  </si>
  <si>
    <t>001869</t>
  </si>
  <si>
    <t>SAINT KITTS</t>
  </si>
  <si>
    <t>001670</t>
  </si>
  <si>
    <t>SAIPAN-MARIANAS</t>
  </si>
  <si>
    <t>00670</t>
  </si>
  <si>
    <t>0067072</t>
  </si>
  <si>
    <t>0067073</t>
  </si>
  <si>
    <t>0067074</t>
  </si>
  <si>
    <t>0067075</t>
  </si>
  <si>
    <t>0067076</t>
  </si>
  <si>
    <t>0067077</t>
  </si>
  <si>
    <t>0067078</t>
  </si>
  <si>
    <t>00677</t>
  </si>
  <si>
    <t>SALOMON IS.</t>
  </si>
  <si>
    <t>006774</t>
  </si>
  <si>
    <t>006775</t>
  </si>
  <si>
    <t>0067754</t>
  </si>
  <si>
    <t>0067765</t>
  </si>
  <si>
    <t>0067766</t>
  </si>
  <si>
    <t>0067768</t>
  </si>
  <si>
    <t>0067769</t>
  </si>
  <si>
    <t>006777</t>
  </si>
  <si>
    <t>006778</t>
  </si>
  <si>
    <t>006779</t>
  </si>
  <si>
    <t>00684</t>
  </si>
  <si>
    <t>SAMOA AMERIC.</t>
  </si>
  <si>
    <t>00685</t>
  </si>
  <si>
    <t>SAMOA OCC.</t>
  </si>
  <si>
    <t>006857</t>
  </si>
  <si>
    <t>00378</t>
  </si>
  <si>
    <t>SAN MARINO</t>
  </si>
  <si>
    <t>001784</t>
  </si>
  <si>
    <t>SAN VICENTE IS.</t>
  </si>
  <si>
    <t>001784492</t>
  </si>
  <si>
    <t>001784493</t>
  </si>
  <si>
    <t>001784593</t>
  </si>
  <si>
    <t>00290</t>
  </si>
  <si>
    <t>SANTA ELENA</t>
  </si>
  <si>
    <t>001758</t>
  </si>
  <si>
    <t>SANTA LUCIA IS.</t>
  </si>
  <si>
    <t>001758284</t>
  </si>
  <si>
    <t>001758384</t>
  </si>
  <si>
    <t>001758485</t>
  </si>
  <si>
    <t>001758584</t>
  </si>
  <si>
    <t>00221</t>
  </si>
  <si>
    <t>SENEGAL</t>
  </si>
  <si>
    <t>002215</t>
  </si>
  <si>
    <t>002216</t>
  </si>
  <si>
    <t>0022170</t>
  </si>
  <si>
    <t>0022176</t>
  </si>
  <si>
    <t>0022177</t>
  </si>
  <si>
    <t>00381</t>
  </si>
  <si>
    <t>SERBIA</t>
  </si>
  <si>
    <t>003816</t>
  </si>
  <si>
    <t>00381614</t>
  </si>
  <si>
    <t>003816190</t>
  </si>
  <si>
    <t>0038163</t>
  </si>
  <si>
    <t>0038164</t>
  </si>
  <si>
    <t>00381663</t>
  </si>
  <si>
    <t>00381664</t>
  </si>
  <si>
    <t>0038169</t>
  </si>
  <si>
    <t>00248</t>
  </si>
  <si>
    <t>SEYCHELLES</t>
  </si>
  <si>
    <t>0024841</t>
  </si>
  <si>
    <t>0024842</t>
  </si>
  <si>
    <t>0024843</t>
  </si>
  <si>
    <t>0024851</t>
  </si>
  <si>
    <t>0024852</t>
  </si>
  <si>
    <t>0024855</t>
  </si>
  <si>
    <t>0024856</t>
  </si>
  <si>
    <t>0024857</t>
  </si>
  <si>
    <t>0024858</t>
  </si>
  <si>
    <t>0024871</t>
  </si>
  <si>
    <t>0024872</t>
  </si>
  <si>
    <t>0024877</t>
  </si>
  <si>
    <t>00232</t>
  </si>
  <si>
    <t>SIERRA LEONA</t>
  </si>
  <si>
    <t>002325</t>
  </si>
  <si>
    <t>0065</t>
  </si>
  <si>
    <t>SINGAPUR</t>
  </si>
  <si>
    <t>00658</t>
  </si>
  <si>
    <t>00659</t>
  </si>
  <si>
    <t>00963</t>
  </si>
  <si>
    <t>SIRIA R.A.</t>
  </si>
  <si>
    <t>0096393</t>
  </si>
  <si>
    <t>0096394</t>
  </si>
  <si>
    <t>SNAC MINI M</t>
  </si>
  <si>
    <t>SNAC STD B</t>
  </si>
  <si>
    <t>SNAC STD M</t>
  </si>
  <si>
    <t>00252</t>
  </si>
  <si>
    <t>SOMALI REP.</t>
  </si>
  <si>
    <t>0094</t>
  </si>
  <si>
    <t>SRI LANKA</t>
  </si>
  <si>
    <t>009471</t>
  </si>
  <si>
    <t>009472</t>
  </si>
  <si>
    <t>009477</t>
  </si>
  <si>
    <t>009478</t>
  </si>
  <si>
    <t>00268</t>
  </si>
  <si>
    <t>SUAZILANDIA</t>
  </si>
  <si>
    <t>0026860</t>
  </si>
  <si>
    <t>0026861</t>
  </si>
  <si>
    <t>0026862</t>
  </si>
  <si>
    <t>0026863</t>
  </si>
  <si>
    <t>0026864</t>
  </si>
  <si>
    <t>0026865</t>
  </si>
  <si>
    <t>0026866</t>
  </si>
  <si>
    <t>0026867</t>
  </si>
  <si>
    <t>0027</t>
  </si>
  <si>
    <t>SUDAFRICANA R.</t>
  </si>
  <si>
    <t>00277</t>
  </si>
  <si>
    <t>00278</t>
  </si>
  <si>
    <t>00249</t>
  </si>
  <si>
    <t>SUDAN</t>
  </si>
  <si>
    <t>00211</t>
  </si>
  <si>
    <t>SUDAN DEL SUR</t>
  </si>
  <si>
    <t>0046</t>
  </si>
  <si>
    <t>SUECIA</t>
  </si>
  <si>
    <t>004610</t>
  </si>
  <si>
    <t>0046102</t>
  </si>
  <si>
    <t>0046103</t>
  </si>
  <si>
    <t>0046106</t>
  </si>
  <si>
    <t>0046107</t>
  </si>
  <si>
    <t>00462</t>
  </si>
  <si>
    <t>0046252</t>
  </si>
  <si>
    <t>00463</t>
  </si>
  <si>
    <t>0046376</t>
  </si>
  <si>
    <t>00465</t>
  </si>
  <si>
    <t>0046518</t>
  </si>
  <si>
    <t>0046519</t>
  </si>
  <si>
    <t>00466</t>
  </si>
  <si>
    <t>0046673</t>
  </si>
  <si>
    <t>0046674</t>
  </si>
  <si>
    <t>0046675</t>
  </si>
  <si>
    <t>0046676</t>
  </si>
  <si>
    <t>00467</t>
  </si>
  <si>
    <t>004670</t>
  </si>
  <si>
    <t>004673</t>
  </si>
  <si>
    <t>0046762</t>
  </si>
  <si>
    <t>0046763</t>
  </si>
  <si>
    <t>0046765</t>
  </si>
  <si>
    <t>00467685</t>
  </si>
  <si>
    <t>00467686</t>
  </si>
  <si>
    <t>00467687</t>
  </si>
  <si>
    <t>00467688</t>
  </si>
  <si>
    <t>00467689</t>
  </si>
  <si>
    <t>0041</t>
  </si>
  <si>
    <t>SUIZA</t>
  </si>
  <si>
    <t>004176</t>
  </si>
  <si>
    <t>004177</t>
  </si>
  <si>
    <t>004178</t>
  </si>
  <si>
    <t>004179</t>
  </si>
  <si>
    <t>0041860</t>
  </si>
  <si>
    <t>004158</t>
  </si>
  <si>
    <t>SUIZA-CORPORATE NUMBERS</t>
  </si>
  <si>
    <t>00597</t>
  </si>
  <si>
    <t>SURINAM</t>
  </si>
  <si>
    <t>0059780</t>
  </si>
  <si>
    <t>0059781</t>
  </si>
  <si>
    <t>00597821</t>
  </si>
  <si>
    <t>0059783</t>
  </si>
  <si>
    <t>0059785</t>
  </si>
  <si>
    <t>0059786</t>
  </si>
  <si>
    <t>0059787</t>
  </si>
  <si>
    <t>0059788</t>
  </si>
  <si>
    <t>00597897</t>
  </si>
  <si>
    <t>00597898</t>
  </si>
  <si>
    <t>0059797</t>
  </si>
  <si>
    <t>00597980</t>
  </si>
  <si>
    <t>00597981</t>
  </si>
  <si>
    <t>00992</t>
  </si>
  <si>
    <t>TADJIKISTAN</t>
  </si>
  <si>
    <t>009928</t>
  </si>
  <si>
    <t>009929</t>
  </si>
  <si>
    <t>0099291</t>
  </si>
  <si>
    <t>009929280</t>
  </si>
  <si>
    <t>0066</t>
  </si>
  <si>
    <t>TAILANDIA</t>
  </si>
  <si>
    <t>00661</t>
  </si>
  <si>
    <t>TAILANDIA MOVIL</t>
  </si>
  <si>
    <t>00668</t>
  </si>
  <si>
    <t>00669</t>
  </si>
  <si>
    <t>00886</t>
  </si>
  <si>
    <t>TAIWAN</t>
  </si>
  <si>
    <t>008869</t>
  </si>
  <si>
    <t>TAIWAN MOVIL</t>
  </si>
  <si>
    <t>00255</t>
  </si>
  <si>
    <t>TANZANIA CONT.</t>
  </si>
  <si>
    <t>0025573</t>
  </si>
  <si>
    <t>00255741</t>
  </si>
  <si>
    <t>00255742</t>
  </si>
  <si>
    <t>00255743</t>
  </si>
  <si>
    <t>00255744</t>
  </si>
  <si>
    <t>00255745</t>
  </si>
  <si>
    <t>00255747</t>
  </si>
  <si>
    <t>00255811</t>
  </si>
  <si>
    <t>00255812</t>
  </si>
  <si>
    <t>00259</t>
  </si>
  <si>
    <t>TANZANIA ZANZ.</t>
  </si>
  <si>
    <t>00672</t>
  </si>
  <si>
    <t>TERR.EXT.AUSTRL/NORFOLK IS.</t>
  </si>
  <si>
    <t>006721</t>
  </si>
  <si>
    <t>006723</t>
  </si>
  <si>
    <t>0088216</t>
  </si>
  <si>
    <t>THURAYA</t>
  </si>
  <si>
    <t>00228</t>
  </si>
  <si>
    <t>TOGOLESA REP.</t>
  </si>
  <si>
    <t>0022890</t>
  </si>
  <si>
    <t>0022894</t>
  </si>
  <si>
    <t>00690</t>
  </si>
  <si>
    <t>TOKELAU</t>
  </si>
  <si>
    <t>00676</t>
  </si>
  <si>
    <t>TONGA</t>
  </si>
  <si>
    <t>0067615</t>
  </si>
  <si>
    <t>0067616</t>
  </si>
  <si>
    <t>0067617</t>
  </si>
  <si>
    <t>0067618</t>
  </si>
  <si>
    <t>0067619</t>
  </si>
  <si>
    <t>001868</t>
  </si>
  <si>
    <t>TRINIDAD TOBAGO</t>
  </si>
  <si>
    <t>001868620</t>
  </si>
  <si>
    <t>001868680</t>
  </si>
  <si>
    <t>001868681</t>
  </si>
  <si>
    <t>001868682</t>
  </si>
  <si>
    <t>001868683</t>
  </si>
  <si>
    <t>001868684</t>
  </si>
  <si>
    <t>001868685</t>
  </si>
  <si>
    <t>001868686</t>
  </si>
  <si>
    <t>001868688</t>
  </si>
  <si>
    <t>001868689</t>
  </si>
  <si>
    <t>00186875</t>
  </si>
  <si>
    <t>00186876</t>
  </si>
  <si>
    <t>001868770</t>
  </si>
  <si>
    <t>001868771</t>
  </si>
  <si>
    <t>001868772</t>
  </si>
  <si>
    <t>001868773</t>
  </si>
  <si>
    <t>001868774</t>
  </si>
  <si>
    <t>00216</t>
  </si>
  <si>
    <t>TUNEZ</t>
  </si>
  <si>
    <t>002169</t>
  </si>
  <si>
    <t>00993</t>
  </si>
  <si>
    <t>TURKMENISTAN</t>
  </si>
  <si>
    <t>001649</t>
  </si>
  <si>
    <t>TURQ.Y CAICOS</t>
  </si>
  <si>
    <t>001649231</t>
  </si>
  <si>
    <t>001649232</t>
  </si>
  <si>
    <t>001649241</t>
  </si>
  <si>
    <t>001649242</t>
  </si>
  <si>
    <t>001649243</t>
  </si>
  <si>
    <t>001649244</t>
  </si>
  <si>
    <t>001649245</t>
  </si>
  <si>
    <t>001649249</t>
  </si>
  <si>
    <t>0090</t>
  </si>
  <si>
    <t>TURQUIA</t>
  </si>
  <si>
    <t>00905</t>
  </si>
  <si>
    <t>0090505</t>
  </si>
  <si>
    <t>0090522</t>
  </si>
  <si>
    <t>0090532</t>
  </si>
  <si>
    <t>0090533</t>
  </si>
  <si>
    <t>0090534</t>
  </si>
  <si>
    <t>0090535</t>
  </si>
  <si>
    <t>0090536</t>
  </si>
  <si>
    <t>0090542</t>
  </si>
  <si>
    <t>0090543</t>
  </si>
  <si>
    <t>0090544</t>
  </si>
  <si>
    <t>0090545</t>
  </si>
  <si>
    <t>0090546</t>
  </si>
  <si>
    <t>0090552</t>
  </si>
  <si>
    <t>0090553</t>
  </si>
  <si>
    <t>0090554</t>
  </si>
  <si>
    <t>0090555</t>
  </si>
  <si>
    <t>0090556</t>
  </si>
  <si>
    <t>0090592</t>
  </si>
  <si>
    <t>0090594</t>
  </si>
  <si>
    <t>0090596</t>
  </si>
  <si>
    <t>00688</t>
  </si>
  <si>
    <t>TUVALU</t>
  </si>
  <si>
    <t>006886</t>
  </si>
  <si>
    <t>00380</t>
  </si>
  <si>
    <t>UCRANIA</t>
  </si>
  <si>
    <t>0038039</t>
  </si>
  <si>
    <t>0038050</t>
  </si>
  <si>
    <t>0038063</t>
  </si>
  <si>
    <t>0038066</t>
  </si>
  <si>
    <t>0038067</t>
  </si>
  <si>
    <t>0038068</t>
  </si>
  <si>
    <t>0038095</t>
  </si>
  <si>
    <t>0038096</t>
  </si>
  <si>
    <t>0038097</t>
  </si>
  <si>
    <t>00256</t>
  </si>
  <si>
    <t>UGANDA</t>
  </si>
  <si>
    <t>0025620</t>
  </si>
  <si>
    <t>002563</t>
  </si>
  <si>
    <t>0025670</t>
  </si>
  <si>
    <t>0025671</t>
  </si>
  <si>
    <t>0025675</t>
  </si>
  <si>
    <t>00256760</t>
  </si>
  <si>
    <t>0025677</t>
  </si>
  <si>
    <t>0025678</t>
  </si>
  <si>
    <t>0025679</t>
  </si>
  <si>
    <t>00598</t>
  </si>
  <si>
    <t>URUGUAY</t>
  </si>
  <si>
    <t>005989</t>
  </si>
  <si>
    <t>005982</t>
  </si>
  <si>
    <t>URUGUAY - MONTEVIDEO</t>
  </si>
  <si>
    <t>00998</t>
  </si>
  <si>
    <t>UZBEKISTAN</t>
  </si>
  <si>
    <t>00678</t>
  </si>
  <si>
    <t>VANUATU</t>
  </si>
  <si>
    <t>006784</t>
  </si>
  <si>
    <t>006785</t>
  </si>
  <si>
    <t>006786</t>
  </si>
  <si>
    <t>0058</t>
  </si>
  <si>
    <t>VENEZUELA</t>
  </si>
  <si>
    <t>005841</t>
  </si>
  <si>
    <t>005842</t>
  </si>
  <si>
    <t>0084</t>
  </si>
  <si>
    <t>VIETNAM</t>
  </si>
  <si>
    <t>008480</t>
  </si>
  <si>
    <t>00849</t>
  </si>
  <si>
    <t>0084902</t>
  </si>
  <si>
    <t>0084903</t>
  </si>
  <si>
    <t>0084904</t>
  </si>
  <si>
    <t>0084905</t>
  </si>
  <si>
    <t>0084906</t>
  </si>
  <si>
    <t>0084907</t>
  </si>
  <si>
    <t>0084908</t>
  </si>
  <si>
    <t>0084909</t>
  </si>
  <si>
    <t>0084912</t>
  </si>
  <si>
    <t>0084913</t>
  </si>
  <si>
    <t>0084914</t>
  </si>
  <si>
    <t>0084915</t>
  </si>
  <si>
    <t>0084916</t>
  </si>
  <si>
    <t>0084917</t>
  </si>
  <si>
    <t>0084918</t>
  </si>
  <si>
    <t>0084919</t>
  </si>
  <si>
    <t>008495</t>
  </si>
  <si>
    <t>001340</t>
  </si>
  <si>
    <t>VIRGENES AMER IS.</t>
  </si>
  <si>
    <t>001284</t>
  </si>
  <si>
    <t>VIRGENES BRIT.</t>
  </si>
  <si>
    <t>00681</t>
  </si>
  <si>
    <t>WALLIS Y FUTUNA</t>
  </si>
  <si>
    <t>00967</t>
  </si>
  <si>
    <t>YEMEN R.A.</t>
  </si>
  <si>
    <t>0096771</t>
  </si>
  <si>
    <t>0096773</t>
  </si>
  <si>
    <t>00967790</t>
  </si>
  <si>
    <t>00967791</t>
  </si>
  <si>
    <t>00967792</t>
  </si>
  <si>
    <t>00967794</t>
  </si>
  <si>
    <t>00967795</t>
  </si>
  <si>
    <t>00967796</t>
  </si>
  <si>
    <t>00967797</t>
  </si>
  <si>
    <t>00969</t>
  </si>
  <si>
    <t>YEMEN R.D.</t>
  </si>
  <si>
    <t>00260</t>
  </si>
  <si>
    <t>ZAMBIA</t>
  </si>
  <si>
    <t>002609570</t>
  </si>
  <si>
    <t>002609675</t>
  </si>
  <si>
    <t>002609676</t>
  </si>
  <si>
    <t>002609678</t>
  </si>
  <si>
    <t>002609686</t>
  </si>
  <si>
    <t>002609690</t>
  </si>
  <si>
    <t>002609777</t>
  </si>
  <si>
    <t>002609778</t>
  </si>
  <si>
    <t>002609779</t>
  </si>
  <si>
    <t>00263</t>
  </si>
  <si>
    <t>ZIMBABWE</t>
  </si>
  <si>
    <t>0026311</t>
  </si>
  <si>
    <t>0026323</t>
  </si>
  <si>
    <t>0026391</t>
  </si>
  <si>
    <t>0026377</t>
  </si>
  <si>
    <t>ZIMBABWE ECONET</t>
  </si>
  <si>
    <t>Aumentos por IPC 2.1 %. Línea VIP sigue en rampa</t>
  </si>
  <si>
    <t>Sólo cambian algunos precios de la TV (DGo y Gigared) y  Antina Fútbol</t>
  </si>
  <si>
    <t>Aumentos del 2.0 %. Línea VIP sigue en rampa. SE ACTUALIZA EL FLEX (cada 4 meses)</t>
  </si>
  <si>
    <t>Diferencia</t>
  </si>
  <si>
    <t>IVA</t>
  </si>
  <si>
    <t>Otros impuestos nacionales</t>
  </si>
  <si>
    <t>Total alícuota impuestos nacionales</t>
  </si>
  <si>
    <t>Sin impuestos nacionales</t>
  </si>
  <si>
    <r>
      <t xml:space="preserve">ESTO ES LO QUE SE PUBLICA POR LA WEB </t>
    </r>
    <r>
      <rPr>
        <b/>
        <u/>
        <sz val="11"/>
        <color indexed="10"/>
        <rFont val="Arial"/>
        <family val="2"/>
      </rPr>
      <t>www.sista.ar/tarifas</t>
    </r>
  </si>
  <si>
    <t xml:space="preserve"> sin inpuestos nacionales</t>
  </si>
  <si>
    <t>Precio final</t>
  </si>
  <si>
    <t>Aumentos del orden del IPC. Línea VIP sigue en rampa</t>
  </si>
  <si>
    <r>
      <rPr>
        <b/>
        <sz val="12"/>
        <color rgb="FFFF0000"/>
        <rFont val="Arial"/>
        <family val="2"/>
      </rPr>
      <t>ACTUALIZAR en DICIEMBRE 2026</t>
    </r>
    <r>
      <rPr>
        <sz val="12"/>
        <rFont val="Arial"/>
        <family val="2"/>
      </rPr>
      <t xml:space="preserve"> Se decide mantener este precio por CUATRIMESTRE para no modificar los flyers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</si>
</sst>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8" formatCode="&quot;$&quot;\ #,##0.00;[Red]\-&quot;$&quot;\ #,##0.00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\ #,##0;[Red]&quot;$&quot;\ \-#,##0"/>
    <numFmt numFmtId="166" formatCode="&quot;$&quot;\ #,##0.00;[Red]&quot;$&quot;\ \-#,##0.00"/>
    <numFmt numFmtId="167" formatCode="_ &quot;$&quot;\ * #,##0.00_ ;_ &quot;$&quot;\ * \-#,##0.00_ ;_ &quot;$&quot;\ * &quot;-&quot;??_ ;_ @_ "/>
    <numFmt numFmtId="168" formatCode="&quot;$&quot;\ #,##0.00"/>
    <numFmt numFmtId="169" formatCode="#,##0_ ;[Red]\-#,##0\ "/>
    <numFmt numFmtId="170" formatCode="0.0%"/>
    <numFmt numFmtId="171" formatCode="[$ȼ -445]\ #,##0"/>
    <numFmt numFmtId="172" formatCode="&quot;$&quot;\ #,##0"/>
    <numFmt numFmtId="173" formatCode="#,##0.00_ ;[Red]\-#,##0.00\ "/>
    <numFmt numFmtId="174" formatCode="#,##0.00000000000_ ;[Red]\-#,##0.00000000000\ "/>
    <numFmt numFmtId="175" formatCode="0.000%"/>
    <numFmt numFmtId="176" formatCode="0.000"/>
    <numFmt numFmtId="177" formatCode="_-* #,##0.000_$_-;\-* #,##0.000_$_-;_-* &quot;-&quot;??_$_-;_-@_-"/>
    <numFmt numFmtId="178" formatCode="&quot;U$S&quot;\ #,##0.0;[Red]&quot;U$S&quot;\ \-#,##0.0"/>
  </numFmts>
  <fonts count="65" x14ac:knownFonts="1">
    <font>
      <sz val="11"/>
      <color theme="1"/>
      <name val="Calibri"/>
      <family val="2"/>
      <scheme val="minor"/>
    </font>
    <font>
      <sz val="12"/>
      <color indexed="8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color indexed="10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sz val="14"/>
      <name val="Arial"/>
      <family val="2"/>
    </font>
    <font>
      <sz val="11"/>
      <color indexed="8"/>
      <name val="Arial"/>
      <family val="2"/>
    </font>
    <font>
      <i/>
      <sz val="10"/>
      <color indexed="8"/>
      <name val="Arial"/>
      <family val="2"/>
    </font>
    <font>
      <b/>
      <sz val="12"/>
      <color indexed="10"/>
      <name val="Arial"/>
      <family val="2"/>
    </font>
    <font>
      <b/>
      <u/>
      <sz val="11"/>
      <color indexed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rgb="FF000099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0"/>
      <color rgb="FF191EF7"/>
      <name val="Arial"/>
      <family val="2"/>
    </font>
    <font>
      <b/>
      <sz val="12"/>
      <color rgb="FF191EF7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4"/>
      <color rgb="FF000099"/>
      <name val="Arial"/>
      <family val="2"/>
    </font>
    <font>
      <u/>
      <sz val="9"/>
      <color theme="10"/>
      <name val="Arial"/>
      <family val="2"/>
    </font>
    <font>
      <i/>
      <sz val="8"/>
      <color rgb="FF0000FF"/>
      <name val="Arial"/>
      <family val="2"/>
    </font>
    <font>
      <b/>
      <sz val="16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b/>
      <sz val="20"/>
      <name val="Arial"/>
      <family val="2"/>
    </font>
    <font>
      <sz val="12"/>
      <color rgb="FF0000FF"/>
      <name val="Arial"/>
      <family val="2"/>
    </font>
    <font>
      <b/>
      <sz val="24"/>
      <name val="Arial"/>
      <family val="2"/>
    </font>
    <font>
      <b/>
      <sz val="22"/>
      <name val="Arial"/>
      <family val="2"/>
    </font>
    <font>
      <sz val="2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sz val="12"/>
      <color rgb="FFFF0000"/>
      <name val="Arial"/>
      <family val="2"/>
    </font>
    <font>
      <b/>
      <sz val="16"/>
      <color rgb="FF0000FF"/>
      <name val="Arial"/>
      <family val="2"/>
    </font>
    <font>
      <b/>
      <sz val="10"/>
      <color rgb="FFFF0000"/>
      <name val="Arial"/>
      <family val="2"/>
    </font>
    <font>
      <b/>
      <sz val="10"/>
      <color rgb="FF0000CC"/>
      <name val="Arial"/>
      <family val="2"/>
    </font>
    <font>
      <b/>
      <sz val="12"/>
      <color rgb="FF0000CC"/>
      <name val="Arial"/>
      <family val="2"/>
    </font>
    <font>
      <sz val="8"/>
      <name val="Calibri"/>
      <family val="2"/>
      <scheme val="minor"/>
    </font>
    <font>
      <b/>
      <sz val="16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rgb="FFFF0000"/>
      <name val="Arial"/>
      <family val="2"/>
    </font>
    <font>
      <i/>
      <sz val="8"/>
      <color indexed="8"/>
      <name val="Arial"/>
      <family val="2"/>
    </font>
    <font>
      <sz val="7"/>
      <color indexed="8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0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21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2" fillId="0" borderId="0"/>
    <xf numFmtId="0" fontId="22" fillId="0" borderId="0"/>
    <xf numFmtId="0" fontId="23" fillId="0" borderId="0"/>
    <xf numFmtId="0" fontId="23" fillId="0" borderId="0"/>
    <xf numFmtId="0" fontId="20" fillId="0" borderId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</cellStyleXfs>
  <cellXfs count="226">
    <xf numFmtId="0" fontId="0" fillId="0" borderId="0" xfId="0"/>
    <xf numFmtId="0" fontId="2" fillId="0" borderId="0" xfId="4" applyAlignment="1">
      <alignment vertical="center"/>
    </xf>
    <xf numFmtId="0" fontId="7" fillId="0" borderId="0" xfId="0" applyFont="1" applyAlignment="1">
      <alignment vertical="center"/>
    </xf>
    <xf numFmtId="0" fontId="9" fillId="0" borderId="1" xfId="4" applyFont="1" applyBorder="1" applyAlignment="1">
      <alignment horizontal="center" vertical="center" wrapText="1"/>
    </xf>
    <xf numFmtId="0" fontId="9" fillId="0" borderId="0" xfId="4" applyFont="1" applyAlignment="1">
      <alignment horizontal="center" vertical="center" wrapText="1"/>
    </xf>
    <xf numFmtId="0" fontId="9" fillId="0" borderId="1" xfId="4" applyFont="1" applyBorder="1" applyAlignment="1">
      <alignment horizontal="center" vertical="center"/>
    </xf>
    <xf numFmtId="0" fontId="2" fillId="0" borderId="1" xfId="4" applyBorder="1" applyAlignment="1">
      <alignment vertical="center"/>
    </xf>
    <xf numFmtId="0" fontId="2" fillId="0" borderId="1" xfId="4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 wrapText="1"/>
    </xf>
    <xf numFmtId="10" fontId="6" fillId="0" borderId="1" xfId="0" applyNumberFormat="1" applyFont="1" applyBorder="1" applyAlignment="1">
      <alignment horizontal="center" vertical="center"/>
    </xf>
    <xf numFmtId="0" fontId="24" fillId="0" borderId="0" xfId="4" applyFont="1" applyAlignment="1">
      <alignment vertical="center"/>
    </xf>
    <xf numFmtId="0" fontId="4" fillId="0" borderId="2" xfId="4" applyFont="1" applyBorder="1" applyAlignment="1">
      <alignment vertical="center"/>
    </xf>
    <xf numFmtId="0" fontId="4" fillId="0" borderId="0" xfId="4" applyFont="1" applyAlignment="1">
      <alignment vertical="center"/>
    </xf>
    <xf numFmtId="0" fontId="3" fillId="0" borderId="0" xfId="4" applyFont="1" applyAlignment="1">
      <alignment horizontal="center" vertical="center" wrapText="1"/>
    </xf>
    <xf numFmtId="0" fontId="23" fillId="0" borderId="0" xfId="6" applyAlignment="1">
      <alignment vertical="center"/>
    </xf>
    <xf numFmtId="0" fontId="10" fillId="0" borderId="0" xfId="5" applyFont="1" applyAlignment="1">
      <alignment vertical="center"/>
    </xf>
    <xf numFmtId="0" fontId="25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7" fillId="0" borderId="0" xfId="5" applyFont="1" applyAlignment="1">
      <alignment vertical="center"/>
    </xf>
    <xf numFmtId="0" fontId="28" fillId="0" borderId="0" xfId="6" applyFont="1" applyAlignment="1">
      <alignment vertical="center"/>
    </xf>
    <xf numFmtId="171" fontId="29" fillId="0" borderId="0" xfId="6" applyNumberFormat="1" applyFont="1" applyAlignment="1">
      <alignment horizontal="center" vertical="center"/>
    </xf>
    <xf numFmtId="171" fontId="28" fillId="2" borderId="0" xfId="6" quotePrefix="1" applyNumberFormat="1" applyFont="1" applyFill="1" applyAlignment="1">
      <alignment horizontal="center" vertical="center"/>
    </xf>
    <xf numFmtId="0" fontId="28" fillId="0" borderId="0" xfId="6" applyFont="1" applyAlignment="1">
      <alignment horizontal="center" vertical="center"/>
    </xf>
    <xf numFmtId="165" fontId="28" fillId="0" borderId="0" xfId="6" applyNumberFormat="1" applyFont="1" applyAlignment="1">
      <alignment horizontal="center" vertical="center"/>
    </xf>
    <xf numFmtId="0" fontId="23" fillId="0" borderId="0" xfId="6" applyAlignment="1">
      <alignment horizontal="center" vertical="center"/>
    </xf>
    <xf numFmtId="165" fontId="23" fillId="0" borderId="0" xfId="6" applyNumberFormat="1" applyAlignment="1">
      <alignment horizontal="center" vertical="center"/>
    </xf>
    <xf numFmtId="0" fontId="23" fillId="0" borderId="1" xfId="6" applyBorder="1" applyAlignment="1">
      <alignment horizontal="center" vertical="center"/>
    </xf>
    <xf numFmtId="165" fontId="23" fillId="0" borderId="1" xfId="6" applyNumberFormat="1" applyBorder="1" applyAlignment="1">
      <alignment horizontal="center" vertical="center"/>
    </xf>
    <xf numFmtId="171" fontId="23" fillId="0" borderId="1" xfId="6" quotePrefix="1" applyNumberFormat="1" applyBorder="1" applyAlignment="1">
      <alignment horizontal="center" vertical="center"/>
    </xf>
    <xf numFmtId="0" fontId="30" fillId="0" borderId="0" xfId="6" applyFont="1" applyAlignment="1">
      <alignment vertical="center" wrapText="1"/>
    </xf>
    <xf numFmtId="0" fontId="30" fillId="0" borderId="0" xfId="6" applyFont="1" applyAlignment="1">
      <alignment horizontal="center" vertical="center" wrapText="1"/>
    </xf>
    <xf numFmtId="0" fontId="25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23" fillId="2" borderId="0" xfId="7" applyFill="1" applyAlignment="1">
      <alignment wrapText="1"/>
    </xf>
    <xf numFmtId="0" fontId="31" fillId="2" borderId="0" xfId="7" applyFont="1" applyFill="1" applyAlignment="1">
      <alignment wrapText="1"/>
    </xf>
    <xf numFmtId="0" fontId="2" fillId="0" borderId="3" xfId="4" applyBorder="1" applyAlignment="1">
      <alignment horizontal="left" vertical="center"/>
    </xf>
    <xf numFmtId="0" fontId="2" fillId="0" borderId="4" xfId="4" applyBorder="1" applyAlignment="1">
      <alignment horizontal="left" vertical="center"/>
    </xf>
    <xf numFmtId="0" fontId="7" fillId="0" borderId="0" xfId="5" applyFont="1" applyAlignment="1">
      <alignment horizontal="justify" vertical="center"/>
    </xf>
    <xf numFmtId="0" fontId="22" fillId="0" borderId="0" xfId="5" applyAlignment="1">
      <alignment vertical="center"/>
    </xf>
    <xf numFmtId="0" fontId="4" fillId="0" borderId="6" xfId="4" applyFont="1" applyBorder="1" applyAlignment="1">
      <alignment horizontal="center" vertical="center" wrapText="1"/>
    </xf>
    <xf numFmtId="0" fontId="3" fillId="0" borderId="0" xfId="4" applyFont="1" applyAlignment="1">
      <alignment vertical="center"/>
    </xf>
    <xf numFmtId="14" fontId="8" fillId="0" borderId="0" xfId="4" applyNumberFormat="1" applyFont="1" applyAlignment="1">
      <alignment horizontal="center" vertical="center"/>
    </xf>
    <xf numFmtId="14" fontId="13" fillId="0" borderId="0" xfId="4" applyNumberFormat="1" applyFont="1" applyAlignment="1">
      <alignment horizontal="center" vertical="center"/>
    </xf>
    <xf numFmtId="0" fontId="23" fillId="0" borderId="7" xfId="6" applyBorder="1" applyAlignment="1">
      <alignment vertical="center"/>
    </xf>
    <xf numFmtId="0" fontId="23" fillId="0" borderId="8" xfId="6" applyBorder="1" applyAlignment="1">
      <alignment horizontal="center" vertical="center"/>
    </xf>
    <xf numFmtId="168" fontId="9" fillId="0" borderId="1" xfId="2" applyNumberFormat="1" applyFont="1" applyFill="1" applyBorder="1" applyAlignment="1">
      <alignment horizontal="center" vertical="center" wrapText="1"/>
    </xf>
    <xf numFmtId="0" fontId="14" fillId="0" borderId="0" xfId="4" applyFont="1" applyAlignment="1">
      <alignment vertical="center"/>
    </xf>
    <xf numFmtId="0" fontId="5" fillId="0" borderId="0" xfId="4" applyFont="1" applyAlignment="1">
      <alignment vertical="center"/>
    </xf>
    <xf numFmtId="0" fontId="23" fillId="0" borderId="9" xfId="6" applyBorder="1" applyAlignment="1">
      <alignment vertical="center"/>
    </xf>
    <xf numFmtId="171" fontId="23" fillId="0" borderId="8" xfId="6" quotePrefix="1" applyNumberFormat="1" applyBorder="1" applyAlignment="1">
      <alignment horizontal="center" vertical="center"/>
    </xf>
    <xf numFmtId="0" fontId="30" fillId="0" borderId="10" xfId="6" applyFont="1" applyBorder="1" applyAlignment="1">
      <alignment horizontal="center" vertical="center" wrapText="1"/>
    </xf>
    <xf numFmtId="0" fontId="2" fillId="2" borderId="0" xfId="4" applyFill="1" applyAlignment="1">
      <alignment vertical="center"/>
    </xf>
    <xf numFmtId="0" fontId="2" fillId="2" borderId="1" xfId="4" applyFill="1" applyBorder="1" applyAlignment="1">
      <alignment vertical="center"/>
    </xf>
    <xf numFmtId="10" fontId="6" fillId="2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15" fillId="0" borderId="0" xfId="5" applyFont="1" applyAlignment="1">
      <alignment vertical="center"/>
    </xf>
    <xf numFmtId="0" fontId="7" fillId="0" borderId="0" xfId="5" applyFont="1" applyAlignment="1">
      <alignment vertical="center" wrapText="1"/>
    </xf>
    <xf numFmtId="0" fontId="16" fillId="0" borderId="0" xfId="5" applyFont="1" applyAlignment="1">
      <alignment horizontal="left" vertical="center" wrapText="1"/>
    </xf>
    <xf numFmtId="0" fontId="12" fillId="0" borderId="0" xfId="2" applyNumberFormat="1" applyFont="1" applyAlignment="1">
      <alignment horizontal="right" vertical="center"/>
    </xf>
    <xf numFmtId="169" fontId="2" fillId="0" borderId="1" xfId="2" applyNumberFormat="1" applyFont="1" applyFill="1" applyBorder="1" applyAlignment="1">
      <alignment horizontal="center" vertical="center"/>
    </xf>
    <xf numFmtId="169" fontId="9" fillId="0" borderId="1" xfId="2" applyNumberFormat="1" applyFont="1" applyFill="1" applyBorder="1" applyAlignment="1">
      <alignment horizontal="right" vertical="center"/>
    </xf>
    <xf numFmtId="168" fontId="9" fillId="0" borderId="6" xfId="2" applyNumberFormat="1" applyFont="1" applyFill="1" applyBorder="1" applyAlignment="1">
      <alignment vertical="center"/>
    </xf>
    <xf numFmtId="0" fontId="21" fillId="0" borderId="0" xfId="1" applyAlignment="1">
      <alignment vertical="center"/>
    </xf>
    <xf numFmtId="0" fontId="33" fillId="0" borderId="0" xfId="1" applyFont="1" applyAlignment="1">
      <alignment vertical="center"/>
    </xf>
    <xf numFmtId="0" fontId="34" fillId="0" borderId="0" xfId="5" applyFont="1" applyAlignment="1">
      <alignment horizontal="right" vertical="center"/>
    </xf>
    <xf numFmtId="0" fontId="35" fillId="0" borderId="0" xfId="4" applyFont="1" applyAlignment="1">
      <alignment vertical="center"/>
    </xf>
    <xf numFmtId="169" fontId="36" fillId="2" borderId="1" xfId="2" applyNumberFormat="1" applyFont="1" applyFill="1" applyBorder="1" applyAlignment="1">
      <alignment horizontal="right" vertical="center"/>
    </xf>
    <xf numFmtId="10" fontId="1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" fontId="6" fillId="2" borderId="1" xfId="0" quotePrefix="1" applyNumberFormat="1" applyFont="1" applyFill="1" applyBorder="1" applyAlignment="1">
      <alignment horizontal="center" vertical="center"/>
    </xf>
    <xf numFmtId="0" fontId="2" fillId="0" borderId="3" xfId="4" applyBorder="1" applyAlignment="1">
      <alignment vertical="center"/>
    </xf>
    <xf numFmtId="0" fontId="2" fillId="0" borderId="4" xfId="4" applyBorder="1" applyAlignment="1">
      <alignment vertical="center"/>
    </xf>
    <xf numFmtId="0" fontId="37" fillId="0" borderId="0" xfId="5" applyFont="1" applyAlignment="1">
      <alignment vertical="center"/>
    </xf>
    <xf numFmtId="0" fontId="32" fillId="0" borderId="0" xfId="4" applyFont="1" applyAlignment="1">
      <alignment horizontal="right" vertical="center"/>
    </xf>
    <xf numFmtId="14" fontId="32" fillId="0" borderId="0" xfId="4" applyNumberFormat="1" applyFont="1" applyAlignment="1">
      <alignment horizontal="center" vertical="center"/>
    </xf>
    <xf numFmtId="0" fontId="3" fillId="0" borderId="13" xfId="4" applyFont="1" applyBorder="1" applyAlignment="1">
      <alignment horizontal="center" vertical="center"/>
    </xf>
    <xf numFmtId="168" fontId="3" fillId="0" borderId="15" xfId="2" applyNumberFormat="1" applyFont="1" applyFill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 wrapText="1"/>
    </xf>
    <xf numFmtId="172" fontId="3" fillId="0" borderId="16" xfId="2" applyNumberFormat="1" applyFont="1" applyFill="1" applyBorder="1" applyAlignment="1">
      <alignment horizontal="right" vertical="center"/>
    </xf>
    <xf numFmtId="169" fontId="9" fillId="0" borderId="0" xfId="2" applyNumberFormat="1" applyFont="1" applyFill="1" applyBorder="1" applyAlignment="1">
      <alignment horizontal="right" vertical="center"/>
    </xf>
    <xf numFmtId="0" fontId="30" fillId="0" borderId="12" xfId="6" applyFont="1" applyBorder="1" applyAlignment="1">
      <alignment horizontal="center" vertical="center" wrapText="1"/>
    </xf>
    <xf numFmtId="10" fontId="4" fillId="0" borderId="6" xfId="4" quotePrefix="1" applyNumberFormat="1" applyFont="1" applyBorder="1" applyAlignment="1">
      <alignment horizontal="center" vertical="center" wrapText="1"/>
    </xf>
    <xf numFmtId="0" fontId="2" fillId="0" borderId="5" xfId="4" applyBorder="1" applyAlignment="1">
      <alignment horizontal="center" vertical="center"/>
    </xf>
    <xf numFmtId="166" fontId="23" fillId="0" borderId="5" xfId="6" applyNumberFormat="1" applyBorder="1" applyAlignment="1">
      <alignment horizontal="center" vertical="center"/>
    </xf>
    <xf numFmtId="0" fontId="9" fillId="0" borderId="0" xfId="4" applyFont="1" applyAlignment="1">
      <alignment vertical="center"/>
    </xf>
    <xf numFmtId="0" fontId="9" fillId="0" borderId="0" xfId="4" applyFont="1" applyAlignment="1">
      <alignment horizontal="left" vertical="center"/>
    </xf>
    <xf numFmtId="170" fontId="9" fillId="0" borderId="0" xfId="9" applyNumberFormat="1" applyFont="1" applyFill="1" applyBorder="1" applyAlignment="1">
      <alignment horizontal="center" vertical="center"/>
    </xf>
    <xf numFmtId="0" fontId="3" fillId="0" borderId="0" xfId="4" quotePrefix="1" applyFont="1" applyAlignment="1">
      <alignment vertical="center"/>
    </xf>
    <xf numFmtId="0" fontId="4" fillId="0" borderId="29" xfId="4" applyFont="1" applyBorder="1" applyAlignment="1">
      <alignment vertical="center"/>
    </xf>
    <xf numFmtId="0" fontId="4" fillId="0" borderId="22" xfId="4" applyFont="1" applyBorder="1" applyAlignment="1">
      <alignment horizontal="center" vertical="center" wrapText="1"/>
    </xf>
    <xf numFmtId="168" fontId="9" fillId="0" borderId="22" xfId="2" applyNumberFormat="1" applyFont="1" applyFill="1" applyBorder="1" applyAlignment="1">
      <alignment vertical="center"/>
    </xf>
    <xf numFmtId="172" fontId="3" fillId="0" borderId="30" xfId="2" applyNumberFormat="1" applyFont="1" applyFill="1" applyBorder="1" applyAlignment="1">
      <alignment horizontal="right" vertical="center"/>
    </xf>
    <xf numFmtId="168" fontId="2" fillId="0" borderId="6" xfId="2" applyNumberFormat="1" applyFont="1" applyFill="1" applyBorder="1" applyAlignment="1">
      <alignment vertical="center"/>
    </xf>
    <xf numFmtId="172" fontId="42" fillId="0" borderId="11" xfId="2" applyNumberFormat="1" applyFont="1" applyFill="1" applyBorder="1" applyAlignment="1">
      <alignment horizontal="right" vertical="center"/>
    </xf>
    <xf numFmtId="172" fontId="42" fillId="0" borderId="31" xfId="2" applyNumberFormat="1" applyFont="1" applyFill="1" applyBorder="1" applyAlignment="1">
      <alignment horizontal="right" vertical="center"/>
    </xf>
    <xf numFmtId="10" fontId="1" fillId="0" borderId="1" xfId="0" applyNumberFormat="1" applyFont="1" applyBorder="1" applyAlignment="1">
      <alignment horizontal="center" vertical="center"/>
    </xf>
    <xf numFmtId="10" fontId="4" fillId="0" borderId="32" xfId="4" applyNumberFormat="1" applyFont="1" applyBorder="1" applyAlignment="1">
      <alignment horizontal="center" vertical="center" wrapText="1"/>
    </xf>
    <xf numFmtId="10" fontId="4" fillId="0" borderId="32" xfId="4" quotePrefix="1" applyNumberFormat="1" applyFont="1" applyBorder="1" applyAlignment="1">
      <alignment horizontal="center" vertical="center" wrapText="1"/>
    </xf>
    <xf numFmtId="10" fontId="4" fillId="0" borderId="33" xfId="4" quotePrefix="1" applyNumberFormat="1" applyFont="1" applyBorder="1" applyAlignment="1">
      <alignment horizontal="center" vertical="center" wrapText="1"/>
    </xf>
    <xf numFmtId="0" fontId="3" fillId="0" borderId="19" xfId="4" applyFont="1" applyBorder="1" applyAlignment="1">
      <alignment horizontal="center" vertical="center"/>
    </xf>
    <xf numFmtId="0" fontId="35" fillId="2" borderId="0" xfId="4" applyFont="1" applyFill="1" applyAlignment="1">
      <alignment horizontal="center" vertical="center" wrapText="1"/>
    </xf>
    <xf numFmtId="0" fontId="40" fillId="0" borderId="3" xfId="4" applyFont="1" applyBorder="1" applyAlignment="1">
      <alignment vertical="center"/>
    </xf>
    <xf numFmtId="0" fontId="40" fillId="0" borderId="4" xfId="4" applyFont="1" applyBorder="1" applyAlignment="1">
      <alignment vertical="center"/>
    </xf>
    <xf numFmtId="0" fontId="40" fillId="0" borderId="5" xfId="4" applyFont="1" applyBorder="1" applyAlignment="1">
      <alignment vertical="center"/>
    </xf>
    <xf numFmtId="169" fontId="9" fillId="2" borderId="1" xfId="2" applyNumberFormat="1" applyFont="1" applyFill="1" applyBorder="1" applyAlignment="1">
      <alignment horizontal="right" vertical="center"/>
    </xf>
    <xf numFmtId="0" fontId="2" fillId="2" borderId="1" xfId="4" applyFill="1" applyBorder="1" applyAlignment="1">
      <alignment horizontal="left" vertical="center"/>
    </xf>
    <xf numFmtId="10" fontId="41" fillId="2" borderId="1" xfId="9" applyNumberFormat="1" applyFont="1" applyFill="1" applyBorder="1" applyAlignment="1">
      <alignment horizontal="center" vertical="center"/>
    </xf>
    <xf numFmtId="0" fontId="44" fillId="0" borderId="4" xfId="4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35" fillId="2" borderId="6" xfId="4" applyFont="1" applyFill="1" applyBorder="1" applyAlignment="1">
      <alignment vertical="center" wrapText="1"/>
    </xf>
    <xf numFmtId="10" fontId="2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5" fillId="0" borderId="3" xfId="4" applyNumberFormat="1" applyFont="1" applyBorder="1" applyAlignment="1">
      <alignment horizontal="center" vertical="center"/>
    </xf>
    <xf numFmtId="0" fontId="5" fillId="0" borderId="4" xfId="4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4" applyFont="1" applyBorder="1" applyAlignment="1">
      <alignment vertical="center"/>
    </xf>
    <xf numFmtId="0" fontId="5" fillId="0" borderId="3" xfId="4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4" applyBorder="1" applyAlignment="1">
      <alignment vertical="center"/>
    </xf>
    <xf numFmtId="0" fontId="5" fillId="0" borderId="4" xfId="4" applyFont="1" applyBorder="1" applyAlignment="1">
      <alignment horizontal="left" vertical="center"/>
    </xf>
    <xf numFmtId="0" fontId="37" fillId="2" borderId="6" xfId="4" applyFont="1" applyFill="1" applyBorder="1" applyAlignment="1">
      <alignment vertical="center" wrapText="1"/>
    </xf>
    <xf numFmtId="0" fontId="4" fillId="4" borderId="2" xfId="4" applyFont="1" applyFill="1" applyBorder="1" applyAlignment="1">
      <alignment vertical="center"/>
    </xf>
    <xf numFmtId="0" fontId="4" fillId="4" borderId="6" xfId="4" applyFont="1" applyFill="1" applyBorder="1" applyAlignment="1">
      <alignment horizontal="center" vertical="center" wrapText="1"/>
    </xf>
    <xf numFmtId="10" fontId="4" fillId="4" borderId="6" xfId="4" applyNumberFormat="1" applyFont="1" applyFill="1" applyBorder="1" applyAlignment="1">
      <alignment horizontal="center" vertical="center" wrapText="1"/>
    </xf>
    <xf numFmtId="10" fontId="4" fillId="4" borderId="32" xfId="4" applyNumberFormat="1" applyFont="1" applyFill="1" applyBorder="1" applyAlignment="1">
      <alignment horizontal="center" vertical="center" wrapText="1"/>
    </xf>
    <xf numFmtId="168" fontId="2" fillId="4" borderId="6" xfId="2" applyNumberFormat="1" applyFont="1" applyFill="1" applyBorder="1" applyAlignment="1">
      <alignment vertical="center"/>
    </xf>
    <xf numFmtId="172" fontId="3" fillId="4" borderId="16" xfId="2" applyNumberFormat="1" applyFont="1" applyFill="1" applyBorder="1" applyAlignment="1">
      <alignment horizontal="right" vertical="center"/>
    </xf>
    <xf numFmtId="172" fontId="42" fillId="4" borderId="11" xfId="2" applyNumberFormat="1" applyFont="1" applyFill="1" applyBorder="1" applyAlignment="1">
      <alignment horizontal="right" vertical="center"/>
    </xf>
    <xf numFmtId="8" fontId="23" fillId="0" borderId="0" xfId="6" applyNumberFormat="1" applyAlignment="1">
      <alignment vertical="center"/>
    </xf>
    <xf numFmtId="169" fontId="45" fillId="0" borderId="1" xfId="2" applyNumberFormat="1" applyFont="1" applyFill="1" applyBorder="1" applyAlignment="1">
      <alignment horizontal="right" vertical="center"/>
    </xf>
    <xf numFmtId="0" fontId="45" fillId="0" borderId="4" xfId="4" applyFont="1" applyBorder="1" applyAlignment="1">
      <alignment vertical="center"/>
    </xf>
    <xf numFmtId="170" fontId="45" fillId="0" borderId="0" xfId="9" applyNumberFormat="1" applyFont="1" applyFill="1" applyBorder="1" applyAlignment="1">
      <alignment horizontal="center" vertical="center"/>
    </xf>
    <xf numFmtId="168" fontId="46" fillId="0" borderId="1" xfId="2" applyNumberFormat="1" applyFont="1" applyFill="1" applyBorder="1" applyAlignment="1">
      <alignment horizontal="center" vertical="center" wrapText="1"/>
    </xf>
    <xf numFmtId="0" fontId="2" fillId="0" borderId="0" xfId="4" applyAlignment="1">
      <alignment horizontal="center" vertical="center"/>
    </xf>
    <xf numFmtId="169" fontId="2" fillId="0" borderId="0" xfId="2" applyNumberFormat="1" applyFont="1" applyFill="1" applyBorder="1" applyAlignment="1">
      <alignment horizontal="center" vertical="center"/>
    </xf>
    <xf numFmtId="10" fontId="41" fillId="2" borderId="0" xfId="9" applyNumberFormat="1" applyFont="1" applyFill="1" applyBorder="1" applyAlignment="1">
      <alignment horizontal="center" vertical="center"/>
    </xf>
    <xf numFmtId="169" fontId="45" fillId="0" borderId="0" xfId="2" applyNumberFormat="1" applyFont="1" applyFill="1" applyBorder="1" applyAlignment="1">
      <alignment horizontal="right" vertical="center"/>
    </xf>
    <xf numFmtId="173" fontId="9" fillId="0" borderId="1" xfId="2" applyNumberFormat="1" applyFont="1" applyFill="1" applyBorder="1" applyAlignment="1">
      <alignment horizontal="right" vertical="center"/>
    </xf>
    <xf numFmtId="173" fontId="45" fillId="0" borderId="1" xfId="2" applyNumberFormat="1" applyFont="1" applyFill="1" applyBorder="1" applyAlignment="1">
      <alignment horizontal="right" vertical="center"/>
    </xf>
    <xf numFmtId="10" fontId="40" fillId="0" borderId="4" xfId="4" applyNumberFormat="1" applyFont="1" applyBorder="1" applyAlignment="1">
      <alignment vertical="center"/>
    </xf>
    <xf numFmtId="169" fontId="40" fillId="0" borderId="4" xfId="4" applyNumberFormat="1" applyFont="1" applyBorder="1" applyAlignment="1">
      <alignment vertical="center"/>
    </xf>
    <xf numFmtId="174" fontId="2" fillId="0" borderId="0" xfId="4" applyNumberFormat="1" applyAlignment="1">
      <alignment vertical="center"/>
    </xf>
    <xf numFmtId="0" fontId="9" fillId="0" borderId="0" xfId="4" applyFont="1" applyAlignment="1">
      <alignment horizontal="right" vertical="center"/>
    </xf>
    <xf numFmtId="0" fontId="38" fillId="0" borderId="0" xfId="4" applyFont="1" applyAlignment="1">
      <alignment vertical="center"/>
    </xf>
    <xf numFmtId="169" fontId="2" fillId="2" borderId="0" xfId="4" applyNumberFormat="1" applyFill="1" applyAlignment="1">
      <alignment vertical="center"/>
    </xf>
    <xf numFmtId="0" fontId="48" fillId="2" borderId="1" xfId="4" applyFont="1" applyFill="1" applyBorder="1" applyAlignment="1">
      <alignment horizontal="left" vertical="center"/>
    </xf>
    <xf numFmtId="10" fontId="41" fillId="3" borderId="1" xfId="9" applyNumberFormat="1" applyFont="1" applyFill="1" applyBorder="1" applyAlignment="1">
      <alignment horizontal="center" vertical="center"/>
    </xf>
    <xf numFmtId="0" fontId="2" fillId="2" borderId="3" xfId="4" applyFill="1" applyBorder="1" applyAlignment="1">
      <alignment horizontal="left" vertical="center"/>
    </xf>
    <xf numFmtId="10" fontId="41" fillId="5" borderId="1" xfId="9" applyNumberFormat="1" applyFont="1" applyFill="1" applyBorder="1" applyAlignment="1">
      <alignment horizontal="center" vertical="center"/>
    </xf>
    <xf numFmtId="0" fontId="2" fillId="2" borderId="3" xfId="4" applyFill="1" applyBorder="1" applyAlignment="1">
      <alignment vertical="center"/>
    </xf>
    <xf numFmtId="0" fontId="48" fillId="2" borderId="0" xfId="4" applyFont="1" applyFill="1" applyAlignment="1">
      <alignment horizontal="right" vertical="center" wrapText="1"/>
    </xf>
    <xf numFmtId="10" fontId="2" fillId="2" borderId="4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0" fontId="32" fillId="0" borderId="0" xfId="2" applyNumberFormat="1" applyFont="1" applyAlignment="1">
      <alignment horizontal="center" vertical="center"/>
    </xf>
    <xf numFmtId="173" fontId="2" fillId="2" borderId="1" xfId="4" applyNumberFormat="1" applyFill="1" applyBorder="1" applyAlignment="1">
      <alignment vertical="center"/>
    </xf>
    <xf numFmtId="173" fontId="2" fillId="0" borderId="1" xfId="4" applyNumberFormat="1" applyBorder="1" applyAlignment="1">
      <alignment vertical="center"/>
    </xf>
    <xf numFmtId="0" fontId="2" fillId="2" borderId="1" xfId="4" applyFill="1" applyBorder="1" applyAlignment="1">
      <alignment horizontal="center" vertical="center"/>
    </xf>
    <xf numFmtId="0" fontId="40" fillId="2" borderId="4" xfId="4" applyFont="1" applyFill="1" applyBorder="1" applyAlignment="1">
      <alignment vertical="center"/>
    </xf>
    <xf numFmtId="175" fontId="49" fillId="0" borderId="34" xfId="9" applyNumberFormat="1" applyFont="1" applyBorder="1" applyAlignment="1">
      <alignment vertical="center"/>
    </xf>
    <xf numFmtId="173" fontId="9" fillId="0" borderId="1" xfId="4" applyNumberFormat="1" applyFont="1" applyBorder="1" applyAlignment="1">
      <alignment vertical="center"/>
    </xf>
    <xf numFmtId="173" fontId="9" fillId="2" borderId="12" xfId="4" applyNumberFormat="1" applyFont="1" applyFill="1" applyBorder="1" applyAlignment="1">
      <alignment vertical="center"/>
    </xf>
    <xf numFmtId="0" fontId="2" fillId="2" borderId="4" xfId="4" applyFill="1" applyBorder="1" applyAlignment="1">
      <alignment horizontal="left" vertical="center"/>
    </xf>
    <xf numFmtId="14" fontId="50" fillId="0" borderId="4" xfId="4" applyNumberFormat="1" applyFont="1" applyBorder="1" applyAlignment="1">
      <alignment horizontal="center" vertical="center" wrapText="1"/>
    </xf>
    <xf numFmtId="0" fontId="51" fillId="0" borderId="0" xfId="5" applyFont="1" applyAlignment="1">
      <alignment vertical="center"/>
    </xf>
    <xf numFmtId="0" fontId="54" fillId="0" borderId="0" xfId="4" applyFont="1" applyAlignment="1">
      <alignment vertical="center"/>
    </xf>
    <xf numFmtId="176" fontId="5" fillId="0" borderId="4" xfId="4" applyNumberFormat="1" applyFont="1" applyBorder="1" applyAlignment="1">
      <alignment horizontal="left" vertical="center"/>
    </xf>
    <xf numFmtId="1" fontId="9" fillId="2" borderId="4" xfId="0" applyNumberFormat="1" applyFont="1" applyFill="1" applyBorder="1" applyAlignment="1">
      <alignment horizontal="center" vertical="center"/>
    </xf>
    <xf numFmtId="10" fontId="2" fillId="2" borderId="1" xfId="9" applyNumberFormat="1" applyFont="1" applyFill="1" applyBorder="1" applyAlignment="1">
      <alignment horizontal="center" vertical="center"/>
    </xf>
    <xf numFmtId="10" fontId="2" fillId="2" borderId="1" xfId="9" applyNumberFormat="1" applyFont="1" applyFill="1" applyBorder="1" applyAlignment="1">
      <alignment horizontal="left" vertical="center"/>
    </xf>
    <xf numFmtId="10" fontId="9" fillId="2" borderId="1" xfId="0" applyNumberFormat="1" applyFont="1" applyFill="1" applyBorder="1" applyAlignment="1">
      <alignment horizontal="center" vertical="center"/>
    </xf>
    <xf numFmtId="2" fontId="5" fillId="0" borderId="4" xfId="4" applyNumberFormat="1" applyFont="1" applyBorder="1" applyAlignment="1">
      <alignment horizontal="left"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177" fontId="9" fillId="2" borderId="0" xfId="11" applyNumberFormat="1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right" vertical="center"/>
    </xf>
    <xf numFmtId="0" fontId="55" fillId="6" borderId="1" xfId="12" applyFont="1" applyFill="1" applyBorder="1" applyAlignment="1">
      <alignment horizontal="center" vertical="center" wrapText="1"/>
    </xf>
    <xf numFmtId="0" fontId="55" fillId="6" borderId="1" xfId="12" applyFont="1" applyFill="1" applyBorder="1" applyAlignment="1">
      <alignment horizontal="center" vertical="center"/>
    </xf>
    <xf numFmtId="0" fontId="12" fillId="2" borderId="1" xfId="12" applyFont="1" applyFill="1" applyBorder="1" applyAlignment="1">
      <alignment horizontal="center" vertical="center" wrapText="1"/>
    </xf>
    <xf numFmtId="0" fontId="12" fillId="2" borderId="1" xfId="12" applyFont="1" applyFill="1" applyBorder="1" applyAlignment="1">
      <alignment vertical="center"/>
    </xf>
    <xf numFmtId="178" fontId="12" fillId="0" borderId="1" xfId="4" applyNumberFormat="1" applyFont="1" applyBorder="1" applyAlignment="1">
      <alignment horizontal="center" vertical="center"/>
    </xf>
    <xf numFmtId="14" fontId="12" fillId="2" borderId="0" xfId="11" quotePrefix="1" applyNumberFormat="1" applyFont="1" applyFill="1" applyAlignment="1">
      <alignment horizontal="left" vertical="center"/>
    </xf>
    <xf numFmtId="0" fontId="25" fillId="2" borderId="0" xfId="7" applyFont="1" applyFill="1" applyAlignment="1">
      <alignment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77" fontId="2" fillId="2" borderId="0" xfId="11" applyNumberFormat="1" applyFont="1" applyFill="1" applyAlignment="1">
      <alignment horizontal="center" vertical="center"/>
    </xf>
    <xf numFmtId="173" fontId="2" fillId="0" borderId="0" xfId="4" applyNumberFormat="1" applyAlignment="1">
      <alignment vertical="center"/>
    </xf>
    <xf numFmtId="170" fontId="10" fillId="0" borderId="0" xfId="5" applyNumberFormat="1" applyFont="1" applyAlignment="1">
      <alignment vertical="center"/>
    </xf>
    <xf numFmtId="0" fontId="10" fillId="0" borderId="1" xfId="5" applyFont="1" applyBorder="1" applyAlignment="1">
      <alignment vertical="center"/>
    </xf>
    <xf numFmtId="170" fontId="56" fillId="0" borderId="1" xfId="5" applyNumberFormat="1" applyFont="1" applyBorder="1" applyAlignment="1">
      <alignment vertical="center"/>
    </xf>
    <xf numFmtId="165" fontId="10" fillId="0" borderId="0" xfId="5" applyNumberFormat="1" applyFont="1" applyAlignment="1">
      <alignment vertical="center"/>
    </xf>
    <xf numFmtId="0" fontId="59" fillId="0" borderId="0" xfId="5" applyFont="1" applyAlignment="1">
      <alignment horizontal="center" vertical="center"/>
    </xf>
    <xf numFmtId="0" fontId="60" fillId="0" borderId="0" xfId="5" applyFont="1" applyAlignment="1">
      <alignment horizontal="center" vertical="center" wrapText="1"/>
    </xf>
    <xf numFmtId="0" fontId="58" fillId="0" borderId="0" xfId="5" applyFont="1" applyAlignment="1">
      <alignment horizontal="center" vertical="center"/>
    </xf>
    <xf numFmtId="0" fontId="57" fillId="0" borderId="1" xfId="5" applyFont="1" applyBorder="1" applyAlignment="1">
      <alignment horizontal="center" vertical="center"/>
    </xf>
    <xf numFmtId="165" fontId="61" fillId="0" borderId="1" xfId="5" applyNumberFormat="1" applyFont="1" applyBorder="1" applyAlignment="1">
      <alignment horizontal="center" vertical="center"/>
    </xf>
    <xf numFmtId="0" fontId="61" fillId="0" borderId="12" xfId="5" applyFont="1" applyBorder="1" applyAlignment="1">
      <alignment horizontal="center" vertical="center" wrapText="1"/>
    </xf>
    <xf numFmtId="0" fontId="62" fillId="0" borderId="12" xfId="5" applyFont="1" applyBorder="1" applyAlignment="1">
      <alignment horizontal="center" vertical="center" wrapText="1"/>
    </xf>
    <xf numFmtId="165" fontId="63" fillId="0" borderId="1" xfId="5" applyNumberFormat="1" applyFont="1" applyBorder="1" applyAlignment="1">
      <alignment vertical="center"/>
    </xf>
    <xf numFmtId="14" fontId="64" fillId="0" borderId="1" xfId="5" applyNumberFormat="1" applyFont="1" applyBorder="1" applyAlignment="1">
      <alignment horizontal="center" vertical="center"/>
    </xf>
    <xf numFmtId="0" fontId="63" fillId="0" borderId="1" xfId="5" applyFont="1" applyBorder="1" applyAlignment="1">
      <alignment vertical="center"/>
    </xf>
    <xf numFmtId="168" fontId="9" fillId="0" borderId="14" xfId="2" applyNumberFormat="1" applyFont="1" applyFill="1" applyBorder="1" applyAlignment="1">
      <alignment horizontal="center" vertical="center" wrapText="1"/>
    </xf>
    <xf numFmtId="2" fontId="2" fillId="3" borderId="0" xfId="4" applyNumberFormat="1" applyFill="1" applyAlignment="1">
      <alignment horizontal="left" vertical="center" indent="1"/>
    </xf>
    <xf numFmtId="0" fontId="11" fillId="0" borderId="0" xfId="5" applyFont="1" applyAlignment="1">
      <alignment vertical="center" wrapText="1"/>
    </xf>
    <xf numFmtId="0" fontId="52" fillId="0" borderId="0" xfId="5" applyFont="1" applyAlignment="1">
      <alignment horizontal="left" vertical="center" wrapText="1"/>
    </xf>
    <xf numFmtId="0" fontId="3" fillId="0" borderId="14" xfId="4" applyFont="1" applyBorder="1" applyAlignment="1">
      <alignment horizontal="center" vertical="center" wrapText="1"/>
    </xf>
    <xf numFmtId="0" fontId="3" fillId="0" borderId="15" xfId="4" applyFont="1" applyBorder="1" applyAlignment="1">
      <alignment horizontal="center" vertical="center" wrapText="1"/>
    </xf>
    <xf numFmtId="0" fontId="3" fillId="0" borderId="13" xfId="4" applyFont="1" applyBorder="1" applyAlignment="1">
      <alignment horizontal="center" vertical="center" wrapText="1"/>
    </xf>
    <xf numFmtId="0" fontId="3" fillId="0" borderId="18" xfId="4" applyFont="1" applyBorder="1" applyAlignment="1">
      <alignment horizontal="center" vertical="center" wrapText="1"/>
    </xf>
    <xf numFmtId="0" fontId="3" fillId="0" borderId="19" xfId="4" applyFont="1" applyBorder="1" applyAlignment="1">
      <alignment horizontal="center" vertical="center" wrapText="1"/>
    </xf>
    <xf numFmtId="0" fontId="3" fillId="0" borderId="20" xfId="4" applyFont="1" applyBorder="1" applyAlignment="1">
      <alignment horizontal="center" vertical="center" wrapText="1"/>
    </xf>
    <xf numFmtId="0" fontId="3" fillId="0" borderId="18" xfId="4" applyFont="1" applyBorder="1" applyAlignment="1">
      <alignment horizontal="center" vertical="center"/>
    </xf>
    <xf numFmtId="0" fontId="11" fillId="0" borderId="0" xfId="5" applyFont="1" applyAlignment="1">
      <alignment horizontal="left" vertical="center" wrapText="1"/>
    </xf>
    <xf numFmtId="0" fontId="30" fillId="0" borderId="24" xfId="6" applyFont="1" applyBorder="1" applyAlignment="1">
      <alignment horizontal="center" vertical="center" wrapText="1"/>
    </xf>
    <xf numFmtId="0" fontId="30" fillId="0" borderId="12" xfId="6" applyFont="1" applyBorder="1" applyAlignment="1">
      <alignment horizontal="center" vertical="center" wrapText="1"/>
    </xf>
    <xf numFmtId="0" fontId="30" fillId="0" borderId="21" xfId="6" applyFont="1" applyBorder="1" applyAlignment="1">
      <alignment horizontal="center" vertical="center" wrapText="1"/>
    </xf>
    <xf numFmtId="0" fontId="30" fillId="0" borderId="23" xfId="6" applyFont="1" applyBorder="1" applyAlignment="1">
      <alignment horizontal="center" vertical="center" wrapText="1"/>
    </xf>
    <xf numFmtId="0" fontId="30" fillId="0" borderId="25" xfId="6" applyFont="1" applyBorder="1" applyAlignment="1">
      <alignment horizontal="center" vertical="center" wrapText="1"/>
    </xf>
    <xf numFmtId="0" fontId="30" fillId="0" borderId="26" xfId="6" applyFont="1" applyBorder="1" applyAlignment="1">
      <alignment horizontal="center" vertical="center" wrapText="1"/>
    </xf>
    <xf numFmtId="0" fontId="30" fillId="0" borderId="27" xfId="6" applyFont="1" applyBorder="1" applyAlignment="1">
      <alignment horizontal="center" vertical="center" wrapText="1"/>
    </xf>
    <xf numFmtId="166" fontId="20" fillId="0" borderId="28" xfId="3" applyNumberFormat="1" applyFont="1" applyBorder="1" applyAlignment="1">
      <alignment horizontal="center" vertical="center"/>
    </xf>
    <xf numFmtId="166" fontId="20" fillId="0" borderId="17" xfId="3" applyNumberFormat="1" applyFont="1" applyBorder="1" applyAlignment="1">
      <alignment horizontal="center" vertical="center"/>
    </xf>
    <xf numFmtId="166" fontId="20" fillId="0" borderId="1" xfId="3" applyNumberFormat="1" applyFont="1" applyBorder="1" applyAlignment="1">
      <alignment horizontal="center" vertical="center"/>
    </xf>
    <xf numFmtId="166" fontId="20" fillId="0" borderId="8" xfId="3" applyNumberFormat="1" applyFont="1" applyBorder="1" applyAlignment="1">
      <alignment horizontal="center" vertical="center"/>
    </xf>
    <xf numFmtId="0" fontId="39" fillId="2" borderId="0" xfId="7" applyFont="1" applyFill="1" applyAlignment="1">
      <alignment horizontal="left" wrapText="1"/>
    </xf>
  </cellXfs>
  <cellStyles count="13">
    <cellStyle name="Hipervínculo" xfId="1" builtinId="8"/>
    <cellStyle name="Millares" xfId="11" builtinId="3"/>
    <cellStyle name="Moneda 2" xfId="2" xr:uid="{00000000-0005-0000-0000-000001000000}"/>
    <cellStyle name="Moneda 3" xfId="3" xr:uid="{00000000-0005-0000-0000-000002000000}"/>
    <cellStyle name="Normal" xfId="0" builtinId="0"/>
    <cellStyle name="Normal 2" xfId="4" xr:uid="{00000000-0005-0000-0000-000004000000}"/>
    <cellStyle name="Normal 3" xfId="5" xr:uid="{00000000-0005-0000-0000-000005000000}"/>
    <cellStyle name="Normal 3 2" xfId="6" xr:uid="{00000000-0005-0000-0000-000006000000}"/>
    <cellStyle name="Normal 4" xfId="7" xr:uid="{00000000-0005-0000-0000-000007000000}"/>
    <cellStyle name="Normal 5" xfId="8" xr:uid="{00000000-0005-0000-0000-000008000000}"/>
    <cellStyle name="Normal_Hoja2" xfId="12" xr:uid="{781D1B83-A83A-43FE-A5B1-1BD02F169347}"/>
    <cellStyle name="Porcentaje" xfId="9" builtinId="5"/>
    <cellStyle name="Porcentaje 2" xfId="10" xr:uid="{00000000-0005-0000-0000-00000A000000}"/>
  </cellStyles>
  <dxfs count="0"/>
  <tableStyles count="0" defaultTableStyle="TableStyleMedium2" defaultPivotStyle="PivotStyleLight16"/>
  <colors>
    <mruColors>
      <color rgb="FF0000CC"/>
      <color rgb="FF0000FF"/>
      <color rgb="FF3366FF"/>
      <color rgb="FF660033"/>
      <color rgb="FFECC5C2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ista.ar/internaciona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Q136"/>
  <sheetViews>
    <sheetView showGridLines="0" zoomScaleNormal="100" workbookViewId="0">
      <selection activeCell="H5" sqref="H5"/>
    </sheetView>
  </sheetViews>
  <sheetFormatPr baseColWidth="10" defaultColWidth="14" defaultRowHeight="15" x14ac:dyDescent="0.25"/>
  <cols>
    <col min="1" max="1" width="5.42578125" style="1" customWidth="1"/>
    <col min="2" max="2" width="70.140625" style="1" customWidth="1"/>
    <col min="3" max="3" width="10.42578125" style="1" customWidth="1"/>
    <col min="4" max="5" width="4.5703125" style="2" customWidth="1"/>
    <col min="6" max="6" width="11" style="2" customWidth="1"/>
    <col min="7" max="8" width="13.85546875" style="1" customWidth="1"/>
    <col min="9" max="9" width="14.42578125" style="1" customWidth="1"/>
    <col min="10" max="10" width="16.85546875" style="1" customWidth="1"/>
    <col min="11" max="11" width="13" style="1" customWidth="1"/>
    <col min="12" max="12" width="13.5703125" style="1" customWidth="1"/>
    <col min="13" max="13" width="76.140625" style="1" customWidth="1"/>
    <col min="14" max="14" width="14" style="1"/>
    <col min="15" max="15" width="19.85546875" style="1" bestFit="1" customWidth="1"/>
    <col min="16" max="16" width="20.42578125" style="1" bestFit="1" customWidth="1"/>
    <col min="17" max="17" width="16.85546875" style="1" bestFit="1" customWidth="1"/>
    <col min="18" max="16384" width="14" style="1"/>
  </cols>
  <sheetData>
    <row r="2" spans="1:17" ht="36.75" customHeight="1" x14ac:dyDescent="0.25">
      <c r="B2" s="40" t="s">
        <v>65</v>
      </c>
      <c r="F2" s="203">
        <v>26.09</v>
      </c>
      <c r="G2" s="121"/>
      <c r="H2" s="121"/>
      <c r="I2" s="110"/>
      <c r="J2" s="101"/>
      <c r="K2" s="151" t="s">
        <v>147</v>
      </c>
      <c r="L2" s="41">
        <v>46266</v>
      </c>
    </row>
    <row r="3" spans="1:17" s="4" customFormat="1" ht="76.5" x14ac:dyDescent="0.25">
      <c r="B3" s="5" t="s">
        <v>90</v>
      </c>
      <c r="C3" s="8" t="s">
        <v>11</v>
      </c>
      <c r="D3" s="8" t="s">
        <v>7</v>
      </c>
      <c r="E3" s="8" t="s">
        <v>10</v>
      </c>
      <c r="F3" s="8" t="s">
        <v>5</v>
      </c>
      <c r="G3" s="8" t="s">
        <v>116</v>
      </c>
      <c r="H3" s="8" t="s">
        <v>117</v>
      </c>
      <c r="I3" s="3" t="s">
        <v>135</v>
      </c>
      <c r="J3" s="45" t="s">
        <v>105</v>
      </c>
      <c r="K3" s="45" t="s">
        <v>138</v>
      </c>
      <c r="L3" s="133" t="s">
        <v>119</v>
      </c>
      <c r="M3" s="109" t="s">
        <v>9</v>
      </c>
    </row>
    <row r="4" spans="1:17" s="4" customFormat="1" ht="40.5" customHeight="1" x14ac:dyDescent="0.25">
      <c r="B4" s="102" t="s">
        <v>87</v>
      </c>
      <c r="C4" s="103"/>
      <c r="D4" s="103"/>
      <c r="E4" s="103"/>
      <c r="F4" s="103"/>
      <c r="G4" s="163">
        <v>46218</v>
      </c>
      <c r="H4" s="163">
        <v>46253</v>
      </c>
      <c r="I4" s="103"/>
      <c r="J4" s="103"/>
      <c r="K4" s="140"/>
      <c r="L4" s="103"/>
      <c r="M4" s="104"/>
      <c r="O4" s="4" t="s">
        <v>136</v>
      </c>
      <c r="P4" s="4" t="s">
        <v>137</v>
      </c>
      <c r="Q4" s="4" t="s">
        <v>3781</v>
      </c>
    </row>
    <row r="5" spans="1:17" s="51" customFormat="1" ht="18" x14ac:dyDescent="0.25">
      <c r="B5" s="52" t="s">
        <v>98</v>
      </c>
      <c r="C5" s="111" t="s">
        <v>13</v>
      </c>
      <c r="D5" s="54" t="s">
        <v>8</v>
      </c>
      <c r="E5" s="111" t="s">
        <v>4</v>
      </c>
      <c r="F5" s="70" t="s">
        <v>93</v>
      </c>
      <c r="G5" s="157">
        <v>69</v>
      </c>
      <c r="H5" s="157">
        <v>68</v>
      </c>
      <c r="I5" s="105">
        <v>20000</v>
      </c>
      <c r="J5" s="61">
        <v>25152.233000907421</v>
      </c>
      <c r="K5" s="107">
        <v>2.1999999999999999E-2</v>
      </c>
      <c r="L5" s="130">
        <f>+J5*(1+K5)</f>
        <v>25705.582126927384</v>
      </c>
      <c r="M5" s="169">
        <f>+H5/G5-1</f>
        <v>-1.4492753623188359E-2</v>
      </c>
      <c r="O5" s="155">
        <f t="shared" ref="O5:O19" si="0">+J5*H5</f>
        <v>1710351.8440617046</v>
      </c>
      <c r="P5" s="155">
        <f t="shared" ref="P5:P19" si="1">+L5*H5</f>
        <v>1747979.5846310621</v>
      </c>
      <c r="Q5" s="155">
        <f>+P5-O5</f>
        <v>37627.740569357527</v>
      </c>
    </row>
    <row r="6" spans="1:17" s="51" customFormat="1" ht="18" x14ac:dyDescent="0.25">
      <c r="B6" s="52" t="s">
        <v>53</v>
      </c>
      <c r="C6" s="111" t="s">
        <v>12</v>
      </c>
      <c r="D6" s="54" t="s">
        <v>8</v>
      </c>
      <c r="E6" s="111" t="s">
        <v>4</v>
      </c>
      <c r="F6" s="70" t="s">
        <v>94</v>
      </c>
      <c r="G6" s="157">
        <v>4717</v>
      </c>
      <c r="H6" s="157">
        <v>4735</v>
      </c>
      <c r="I6" s="105">
        <v>20000</v>
      </c>
      <c r="J6" s="61">
        <v>25152.312933072819</v>
      </c>
      <c r="K6" s="107">
        <v>2.1999999999999999E-2</v>
      </c>
      <c r="L6" s="130">
        <f t="shared" ref="L6:L29" si="2">+J6*(1+K6)</f>
        <v>25705.66381760042</v>
      </c>
      <c r="M6" s="169">
        <f t="shared" ref="M6:M11" si="3">+H6/G6-1</f>
        <v>3.8159847360610399E-3</v>
      </c>
      <c r="N6" s="145"/>
      <c r="O6" s="155">
        <f t="shared" si="0"/>
        <v>119096201.7380998</v>
      </c>
      <c r="P6" s="155">
        <f t="shared" si="1"/>
        <v>121716318.17633799</v>
      </c>
      <c r="Q6" s="155">
        <f>+P6-O6</f>
        <v>2620116.4382381886</v>
      </c>
    </row>
    <row r="7" spans="1:17" ht="18" x14ac:dyDescent="0.25">
      <c r="B7" s="52" t="s">
        <v>54</v>
      </c>
      <c r="C7" s="111" t="s">
        <v>12</v>
      </c>
      <c r="D7" s="54" t="s">
        <v>8</v>
      </c>
      <c r="E7" s="111" t="s">
        <v>4</v>
      </c>
      <c r="F7" s="70" t="s">
        <v>56</v>
      </c>
      <c r="G7" s="157">
        <v>1292</v>
      </c>
      <c r="H7" s="157">
        <v>1288</v>
      </c>
      <c r="I7" s="105">
        <v>20000</v>
      </c>
      <c r="J7" s="61">
        <v>31058.057089539412</v>
      </c>
      <c r="K7" s="107">
        <v>2.1000000000000001E-2</v>
      </c>
      <c r="L7" s="130">
        <f t="shared" si="2"/>
        <v>31710.276288419736</v>
      </c>
      <c r="M7" s="169">
        <f t="shared" si="3"/>
        <v>-3.0959752321981782E-3</v>
      </c>
      <c r="O7" s="155">
        <f t="shared" si="0"/>
        <v>40002777.531326763</v>
      </c>
      <c r="P7" s="155">
        <f t="shared" si="1"/>
        <v>40842835.85948462</v>
      </c>
      <c r="Q7" s="155">
        <f t="shared" ref="Q7:Q11" si="4">+P7-O7</f>
        <v>840058.32815785706</v>
      </c>
    </row>
    <row r="8" spans="1:17" ht="18" x14ac:dyDescent="0.25">
      <c r="B8" s="52" t="s">
        <v>55</v>
      </c>
      <c r="C8" s="111" t="s">
        <v>12</v>
      </c>
      <c r="D8" s="54" t="s">
        <v>8</v>
      </c>
      <c r="E8" s="111" t="s">
        <v>4</v>
      </c>
      <c r="F8" s="70" t="s">
        <v>57</v>
      </c>
      <c r="G8" s="157">
        <v>2099</v>
      </c>
      <c r="H8" s="157">
        <v>2198</v>
      </c>
      <c r="I8" s="105">
        <v>20000</v>
      </c>
      <c r="J8" s="61">
        <v>32205.449411659352</v>
      </c>
      <c r="K8" s="107">
        <f t="shared" ref="K8:K11" si="5">+K7</f>
        <v>2.1000000000000001E-2</v>
      </c>
      <c r="L8" s="130">
        <f t="shared" si="2"/>
        <v>32881.763849304196</v>
      </c>
      <c r="M8" s="169">
        <f t="shared" si="3"/>
        <v>4.716531681753211E-2</v>
      </c>
      <c r="O8" s="155">
        <f t="shared" si="0"/>
        <v>70787577.806827262</v>
      </c>
      <c r="P8" s="155">
        <f t="shared" si="1"/>
        <v>72274116.940770626</v>
      </c>
      <c r="Q8" s="155">
        <f t="shared" si="4"/>
        <v>1486539.133943364</v>
      </c>
    </row>
    <row r="9" spans="1:17" ht="18" x14ac:dyDescent="0.25">
      <c r="B9" s="52" t="s">
        <v>95</v>
      </c>
      <c r="C9" s="111" t="s">
        <v>13</v>
      </c>
      <c r="D9" s="54" t="s">
        <v>8</v>
      </c>
      <c r="E9" s="111" t="s">
        <v>4</v>
      </c>
      <c r="F9" s="70" t="s">
        <v>59</v>
      </c>
      <c r="G9" s="157">
        <v>334</v>
      </c>
      <c r="H9" s="157">
        <v>336</v>
      </c>
      <c r="I9" s="105">
        <v>20000</v>
      </c>
      <c r="J9" s="61">
        <v>41980.686811560816</v>
      </c>
      <c r="K9" s="107">
        <f t="shared" si="5"/>
        <v>2.1000000000000001E-2</v>
      </c>
      <c r="L9" s="130">
        <f t="shared" si="2"/>
        <v>42862.281234603586</v>
      </c>
      <c r="M9" s="169">
        <f t="shared" si="3"/>
        <v>5.9880239520957446E-3</v>
      </c>
      <c r="O9" s="155">
        <f t="shared" si="0"/>
        <v>14105510.768684434</v>
      </c>
      <c r="P9" s="155">
        <f t="shared" si="1"/>
        <v>14401726.494826805</v>
      </c>
      <c r="Q9" s="155">
        <f t="shared" si="4"/>
        <v>296215.72614237107</v>
      </c>
    </row>
    <row r="10" spans="1:17" ht="18" x14ac:dyDescent="0.25">
      <c r="B10" s="52" t="s">
        <v>96</v>
      </c>
      <c r="C10" s="111" t="s">
        <v>13</v>
      </c>
      <c r="D10" s="111" t="s">
        <v>8</v>
      </c>
      <c r="E10" s="111" t="s">
        <v>4</v>
      </c>
      <c r="F10" s="69" t="s">
        <v>58</v>
      </c>
      <c r="G10" s="157">
        <v>98</v>
      </c>
      <c r="H10" s="157">
        <v>105</v>
      </c>
      <c r="I10" s="105">
        <v>20000</v>
      </c>
      <c r="J10" s="61">
        <v>45798.848413339896</v>
      </c>
      <c r="K10" s="107">
        <f t="shared" si="5"/>
        <v>2.1000000000000001E-2</v>
      </c>
      <c r="L10" s="130">
        <f t="shared" si="2"/>
        <v>46760.624230020032</v>
      </c>
      <c r="M10" s="169">
        <f t="shared" si="3"/>
        <v>7.1428571428571397E-2</v>
      </c>
      <c r="O10" s="155">
        <f t="shared" si="0"/>
        <v>4808879.0834006891</v>
      </c>
      <c r="P10" s="155">
        <f t="shared" si="1"/>
        <v>4909865.5441521034</v>
      </c>
      <c r="Q10" s="155">
        <f t="shared" si="4"/>
        <v>100986.4607514143</v>
      </c>
    </row>
    <row r="11" spans="1:17" ht="18" x14ac:dyDescent="0.25">
      <c r="B11" s="52" t="s">
        <v>196</v>
      </c>
      <c r="C11" s="152" t="s">
        <v>13</v>
      </c>
      <c r="D11" s="152" t="s">
        <v>8</v>
      </c>
      <c r="E11" s="152" t="s">
        <v>4</v>
      </c>
      <c r="F11" s="167" t="s">
        <v>188</v>
      </c>
      <c r="G11" s="157">
        <v>24</v>
      </c>
      <c r="H11" s="157">
        <v>25</v>
      </c>
      <c r="I11" s="105">
        <v>20000</v>
      </c>
      <c r="J11" s="61">
        <v>54688.877856359999</v>
      </c>
      <c r="K11" s="107">
        <f t="shared" si="5"/>
        <v>2.1000000000000001E-2</v>
      </c>
      <c r="L11" s="130">
        <f t="shared" si="2"/>
        <v>55837.344291343557</v>
      </c>
      <c r="M11" s="169">
        <f t="shared" si="3"/>
        <v>4.1666666666666741E-2</v>
      </c>
      <c r="O11" s="155">
        <f t="shared" si="0"/>
        <v>1367221.9464090001</v>
      </c>
      <c r="P11" s="155">
        <f t="shared" si="1"/>
        <v>1395933.607283589</v>
      </c>
      <c r="Q11" s="155">
        <f t="shared" si="4"/>
        <v>28711.660874588881</v>
      </c>
    </row>
    <row r="12" spans="1:17" ht="18" x14ac:dyDescent="0.25">
      <c r="B12" s="52" t="s">
        <v>155</v>
      </c>
      <c r="C12" s="152"/>
      <c r="D12" s="152"/>
      <c r="E12" s="152"/>
      <c r="F12" s="153"/>
      <c r="G12" s="157">
        <v>50</v>
      </c>
      <c r="H12" s="157">
        <v>52</v>
      </c>
      <c r="I12" s="105"/>
      <c r="J12" s="61">
        <v>14498.839999999998</v>
      </c>
      <c r="K12" s="107">
        <v>0</v>
      </c>
      <c r="L12" s="130">
        <f t="shared" si="2"/>
        <v>14498.839999999998</v>
      </c>
      <c r="M12" s="106" t="s">
        <v>3790</v>
      </c>
      <c r="O12" s="155">
        <f t="shared" si="0"/>
        <v>753939.67999999993</v>
      </c>
      <c r="P12" s="155">
        <f t="shared" si="1"/>
        <v>753939.67999999993</v>
      </c>
      <c r="Q12" s="155">
        <f t="shared" ref="Q12:Q29" si="6">+P12-O12</f>
        <v>0</v>
      </c>
    </row>
    <row r="13" spans="1:17" s="51" customFormat="1" ht="18" x14ac:dyDescent="0.25">
      <c r="B13" s="52" t="s">
        <v>156</v>
      </c>
      <c r="C13" s="36"/>
      <c r="D13" s="36"/>
      <c r="E13" s="36"/>
      <c r="F13" s="36"/>
      <c r="G13" s="157">
        <f>413+246</f>
        <v>659</v>
      </c>
      <c r="H13" s="157">
        <v>647</v>
      </c>
      <c r="I13" s="60"/>
      <c r="J13" s="61">
        <v>19890</v>
      </c>
      <c r="K13" s="147">
        <f t="shared" ref="K13" si="7">+L13/J13-1</f>
        <v>0</v>
      </c>
      <c r="L13" s="130">
        <v>19890</v>
      </c>
      <c r="M13" s="106"/>
      <c r="O13" s="155">
        <f t="shared" si="0"/>
        <v>12868830</v>
      </c>
      <c r="P13" s="155">
        <f t="shared" si="1"/>
        <v>12868830</v>
      </c>
      <c r="Q13" s="155">
        <f t="shared" si="6"/>
        <v>0</v>
      </c>
    </row>
    <row r="14" spans="1:17" ht="18" x14ac:dyDescent="0.25">
      <c r="A14" s="51"/>
      <c r="B14" s="150" t="s">
        <v>173</v>
      </c>
      <c r="C14" s="36"/>
      <c r="D14" s="36"/>
      <c r="E14" s="36"/>
      <c r="F14" s="36"/>
      <c r="G14" s="157">
        <v>5</v>
      </c>
      <c r="H14" s="157">
        <v>5</v>
      </c>
      <c r="I14" s="60"/>
      <c r="J14" s="61">
        <v>45950</v>
      </c>
      <c r="K14" s="147">
        <f t="shared" ref="K14:K16" si="8">+L14/J14-1</f>
        <v>0</v>
      </c>
      <c r="L14" s="130">
        <v>45950</v>
      </c>
      <c r="M14" s="106"/>
      <c r="O14" s="156">
        <f t="shared" si="0"/>
        <v>229750</v>
      </c>
      <c r="P14" s="155">
        <f t="shared" si="1"/>
        <v>229750</v>
      </c>
      <c r="Q14" s="155">
        <f t="shared" si="6"/>
        <v>0</v>
      </c>
    </row>
    <row r="15" spans="1:17" ht="18" x14ac:dyDescent="0.25">
      <c r="A15" s="51"/>
      <c r="B15" s="150" t="s">
        <v>158</v>
      </c>
      <c r="C15" s="36"/>
      <c r="D15" s="36"/>
      <c r="E15" s="36"/>
      <c r="F15" s="36"/>
      <c r="G15" s="157">
        <v>156</v>
      </c>
      <c r="H15" s="157">
        <v>161</v>
      </c>
      <c r="I15" s="60"/>
      <c r="J15" s="61">
        <v>29500</v>
      </c>
      <c r="K15" s="147">
        <f t="shared" si="8"/>
        <v>0</v>
      </c>
      <c r="L15" s="130">
        <v>29500</v>
      </c>
      <c r="M15" s="106"/>
      <c r="O15" s="156">
        <f t="shared" si="0"/>
        <v>4749500</v>
      </c>
      <c r="P15" s="155">
        <f t="shared" si="1"/>
        <v>4749500</v>
      </c>
      <c r="Q15" s="155">
        <f t="shared" si="6"/>
        <v>0</v>
      </c>
    </row>
    <row r="16" spans="1:17" s="51" customFormat="1" ht="18" x14ac:dyDescent="0.25">
      <c r="B16" s="150" t="s">
        <v>154</v>
      </c>
      <c r="C16" s="36"/>
      <c r="D16" s="36"/>
      <c r="E16" s="36"/>
      <c r="F16" s="36"/>
      <c r="G16" s="157">
        <v>136</v>
      </c>
      <c r="H16" s="157">
        <v>112</v>
      </c>
      <c r="I16" s="60"/>
      <c r="J16" s="61">
        <v>35050</v>
      </c>
      <c r="K16" s="147">
        <f t="shared" si="8"/>
        <v>0</v>
      </c>
      <c r="L16" s="130">
        <v>35050</v>
      </c>
      <c r="M16" s="146"/>
      <c r="O16" s="155">
        <f t="shared" si="0"/>
        <v>3925600</v>
      </c>
      <c r="P16" s="155">
        <f t="shared" si="1"/>
        <v>3925600</v>
      </c>
      <c r="Q16" s="155">
        <f t="shared" si="6"/>
        <v>0</v>
      </c>
    </row>
    <row r="17" spans="1:17" s="51" customFormat="1" ht="18" x14ac:dyDescent="0.25">
      <c r="B17" s="150" t="s">
        <v>204</v>
      </c>
      <c r="C17" s="36"/>
      <c r="D17" s="36"/>
      <c r="E17" s="36"/>
      <c r="F17" s="36"/>
      <c r="G17" s="157">
        <v>1</v>
      </c>
      <c r="H17" s="157">
        <v>0</v>
      </c>
      <c r="I17" s="60"/>
      <c r="J17" s="61">
        <v>39300</v>
      </c>
      <c r="K17" s="147">
        <f>+L17/J17-1</f>
        <v>0</v>
      </c>
      <c r="L17" s="130">
        <v>39300</v>
      </c>
      <c r="M17" s="146"/>
      <c r="O17" s="155">
        <f t="shared" si="0"/>
        <v>0</v>
      </c>
      <c r="P17" s="155">
        <f t="shared" si="1"/>
        <v>0</v>
      </c>
      <c r="Q17" s="155">
        <f t="shared" si="6"/>
        <v>0</v>
      </c>
    </row>
    <row r="18" spans="1:17" s="51" customFormat="1" ht="18" x14ac:dyDescent="0.25">
      <c r="B18" s="150" t="s">
        <v>160</v>
      </c>
      <c r="C18" s="36"/>
      <c r="D18" s="36"/>
      <c r="E18" s="36"/>
      <c r="F18" s="36"/>
      <c r="G18" s="157">
        <v>50</v>
      </c>
      <c r="H18" s="157">
        <v>62</v>
      </c>
      <c r="I18" s="60"/>
      <c r="J18" s="61">
        <v>25610</v>
      </c>
      <c r="K18" s="147">
        <f>+L18/J18-1</f>
        <v>0</v>
      </c>
      <c r="L18" s="130">
        <v>25610</v>
      </c>
      <c r="M18" s="106"/>
      <c r="O18" s="155">
        <f t="shared" si="0"/>
        <v>1587820</v>
      </c>
      <c r="P18" s="155">
        <f t="shared" si="1"/>
        <v>1587820</v>
      </c>
      <c r="Q18" s="155">
        <f t="shared" si="6"/>
        <v>0</v>
      </c>
    </row>
    <row r="19" spans="1:17" s="51" customFormat="1" ht="18" x14ac:dyDescent="0.25">
      <c r="B19" s="150" t="s">
        <v>161</v>
      </c>
      <c r="C19" s="36"/>
      <c r="D19" s="36"/>
      <c r="E19" s="36"/>
      <c r="F19" s="36"/>
      <c r="G19" s="157">
        <v>1</v>
      </c>
      <c r="H19" s="157">
        <v>1</v>
      </c>
      <c r="I19" s="60"/>
      <c r="J19" s="61">
        <v>9135</v>
      </c>
      <c r="K19" s="147">
        <f>+L19/J19-1</f>
        <v>0</v>
      </c>
      <c r="L19" s="130">
        <v>9135</v>
      </c>
      <c r="M19" s="106"/>
      <c r="O19" s="155">
        <f t="shared" si="0"/>
        <v>9135</v>
      </c>
      <c r="P19" s="155">
        <f t="shared" si="1"/>
        <v>9135</v>
      </c>
      <c r="Q19" s="155">
        <f t="shared" si="6"/>
        <v>0</v>
      </c>
    </row>
    <row r="20" spans="1:17" s="51" customFormat="1" ht="18" x14ac:dyDescent="0.25">
      <c r="B20" s="150" t="s">
        <v>159</v>
      </c>
      <c r="C20" s="36"/>
      <c r="D20" s="36"/>
      <c r="E20" s="36"/>
      <c r="F20" s="36"/>
      <c r="G20" s="157">
        <v>1</v>
      </c>
      <c r="H20" s="157">
        <v>2</v>
      </c>
      <c r="I20" s="60"/>
      <c r="J20" s="61">
        <v>15120</v>
      </c>
      <c r="K20" s="147">
        <f>+L20/J20-1</f>
        <v>0</v>
      </c>
      <c r="L20" s="130">
        <v>15120</v>
      </c>
      <c r="M20" s="106"/>
      <c r="O20" s="155">
        <f t="shared" ref="O20:O29" si="9">+J20*H20</f>
        <v>30240</v>
      </c>
      <c r="P20" s="155">
        <f t="shared" ref="P20:P29" si="10">+L20*H20</f>
        <v>30240</v>
      </c>
      <c r="Q20" s="155">
        <f t="shared" si="6"/>
        <v>0</v>
      </c>
    </row>
    <row r="21" spans="1:17" s="51" customFormat="1" ht="18" x14ac:dyDescent="0.25">
      <c r="B21" s="150" t="s">
        <v>181</v>
      </c>
      <c r="C21" s="36"/>
      <c r="D21" s="36"/>
      <c r="E21" s="36"/>
      <c r="F21" s="36"/>
      <c r="G21" s="157">
        <v>165</v>
      </c>
      <c r="H21" s="157">
        <v>166</v>
      </c>
      <c r="I21" s="60"/>
      <c r="J21" s="61">
        <v>13100</v>
      </c>
      <c r="K21" s="147">
        <f t="shared" ref="K21:K22" si="11">+L21/J21-1</f>
        <v>0</v>
      </c>
      <c r="L21" s="130">
        <v>13100</v>
      </c>
      <c r="M21" s="162"/>
      <c r="O21" s="155">
        <f t="shared" si="9"/>
        <v>2174600</v>
      </c>
      <c r="P21" s="155">
        <f t="shared" si="10"/>
        <v>2174600</v>
      </c>
      <c r="Q21" s="155">
        <f t="shared" si="6"/>
        <v>0</v>
      </c>
    </row>
    <row r="22" spans="1:17" s="51" customFormat="1" ht="18" x14ac:dyDescent="0.25">
      <c r="B22" s="150" t="s">
        <v>179</v>
      </c>
      <c r="C22" s="36"/>
      <c r="D22" s="36"/>
      <c r="E22" s="36"/>
      <c r="F22" s="36"/>
      <c r="G22" s="157">
        <v>15</v>
      </c>
      <c r="H22" s="157">
        <v>17</v>
      </c>
      <c r="I22" s="60"/>
      <c r="J22" s="61">
        <v>25610</v>
      </c>
      <c r="K22" s="147">
        <f t="shared" si="11"/>
        <v>0</v>
      </c>
      <c r="L22" s="130">
        <v>25610</v>
      </c>
      <c r="M22" s="162"/>
      <c r="O22" s="155">
        <f t="shared" si="9"/>
        <v>435370</v>
      </c>
      <c r="P22" s="155">
        <f t="shared" si="10"/>
        <v>435370</v>
      </c>
      <c r="Q22" s="155">
        <f t="shared" si="6"/>
        <v>0</v>
      </c>
    </row>
    <row r="23" spans="1:17" ht="18" x14ac:dyDescent="0.25">
      <c r="A23" s="51"/>
      <c r="B23" s="35" t="s">
        <v>45</v>
      </c>
      <c r="C23" s="36"/>
      <c r="D23" s="36"/>
      <c r="E23" s="36"/>
      <c r="F23" s="36"/>
      <c r="G23" s="157">
        <v>1</v>
      </c>
      <c r="H23" s="157">
        <v>1</v>
      </c>
      <c r="I23" s="60"/>
      <c r="J23" s="61">
        <v>19501.255000583667</v>
      </c>
      <c r="K23" s="107">
        <v>0.1</v>
      </c>
      <c r="L23" s="130">
        <f t="shared" si="2"/>
        <v>21451.380500642037</v>
      </c>
      <c r="M23" s="36" t="s">
        <v>176</v>
      </c>
      <c r="O23" s="156">
        <f t="shared" si="9"/>
        <v>19501.255000583667</v>
      </c>
      <c r="P23" s="155">
        <f t="shared" si="10"/>
        <v>21451.380500642037</v>
      </c>
      <c r="Q23" s="155">
        <f t="shared" si="6"/>
        <v>1950.1255000583697</v>
      </c>
    </row>
    <row r="24" spans="1:17" ht="18" x14ac:dyDescent="0.25">
      <c r="A24" s="10"/>
      <c r="B24" s="35" t="s">
        <v>46</v>
      </c>
      <c r="C24" s="36"/>
      <c r="D24" s="36"/>
      <c r="E24" s="36"/>
      <c r="F24" s="36"/>
      <c r="G24" s="157">
        <v>258</v>
      </c>
      <c r="H24" s="157">
        <v>249</v>
      </c>
      <c r="I24" s="60"/>
      <c r="J24" s="61">
        <v>9971.6033986464281</v>
      </c>
      <c r="K24" s="107">
        <v>2.1000000000000001E-2</v>
      </c>
      <c r="L24" s="130">
        <f t="shared" si="2"/>
        <v>10181.007070018002</v>
      </c>
      <c r="M24" s="36" t="s">
        <v>176</v>
      </c>
      <c r="O24" s="156">
        <f t="shared" si="9"/>
        <v>2482929.2462629606</v>
      </c>
      <c r="P24" s="155">
        <f t="shared" si="10"/>
        <v>2535070.7604344827</v>
      </c>
      <c r="Q24" s="155">
        <f t="shared" si="6"/>
        <v>52141.514171522111</v>
      </c>
    </row>
    <row r="25" spans="1:17" ht="18" x14ac:dyDescent="0.25">
      <c r="B25" s="35" t="s">
        <v>207</v>
      </c>
      <c r="C25" s="36"/>
      <c r="D25" s="36"/>
      <c r="E25" s="36"/>
      <c r="F25" s="36"/>
      <c r="G25" s="157">
        <v>1</v>
      </c>
      <c r="H25" s="157">
        <v>1</v>
      </c>
      <c r="I25" s="130">
        <f>150*1430</f>
        <v>214500</v>
      </c>
      <c r="J25" s="61">
        <v>37887.70026924229</v>
      </c>
      <c r="K25" s="168">
        <f>+K11</f>
        <v>2.1000000000000001E-2</v>
      </c>
      <c r="L25" s="130">
        <f t="shared" si="2"/>
        <v>38683.341974896372</v>
      </c>
      <c r="M25" s="36" t="s">
        <v>195</v>
      </c>
      <c r="O25" s="156">
        <f t="shared" si="9"/>
        <v>37887.70026924229</v>
      </c>
      <c r="P25" s="155">
        <f t="shared" si="10"/>
        <v>38683.341974896372</v>
      </c>
      <c r="Q25" s="155">
        <f t="shared" si="6"/>
        <v>795.64170565408131</v>
      </c>
    </row>
    <row r="26" spans="1:17" ht="18" x14ac:dyDescent="0.25">
      <c r="B26" s="35" t="s">
        <v>192</v>
      </c>
      <c r="C26" s="36"/>
      <c r="D26" s="36"/>
      <c r="E26" s="36"/>
      <c r="F26" s="36"/>
      <c r="G26" s="157">
        <v>1</v>
      </c>
      <c r="H26" s="157">
        <v>1</v>
      </c>
      <c r="I26" s="130"/>
      <c r="J26" s="61">
        <v>7577.5400538484573</v>
      </c>
      <c r="K26" s="168">
        <f>+K25</f>
        <v>2.1000000000000001E-2</v>
      </c>
      <c r="L26" s="130">
        <f t="shared" ref="L26" si="12">+J26*(1+K26)</f>
        <v>7736.6683949792741</v>
      </c>
      <c r="M26" s="106" t="s">
        <v>191</v>
      </c>
      <c r="O26" s="156">
        <f t="shared" si="9"/>
        <v>7577.5400538484573</v>
      </c>
      <c r="P26" s="155">
        <f t="shared" si="10"/>
        <v>7736.6683949792741</v>
      </c>
      <c r="Q26" s="155">
        <f t="shared" si="6"/>
        <v>159.12834113081681</v>
      </c>
    </row>
    <row r="27" spans="1:17" ht="18" x14ac:dyDescent="0.25">
      <c r="B27" s="35" t="s">
        <v>193</v>
      </c>
      <c r="C27" s="36"/>
      <c r="D27" s="36"/>
      <c r="E27" s="36"/>
      <c r="F27" s="36"/>
      <c r="G27" s="157">
        <v>0</v>
      </c>
      <c r="H27" s="157">
        <v>0</v>
      </c>
      <c r="I27" s="60"/>
      <c r="J27" s="61">
        <v>3788.7700269242287</v>
      </c>
      <c r="K27" s="168">
        <f>+K26</f>
        <v>2.1000000000000001E-2</v>
      </c>
      <c r="L27" s="130">
        <f t="shared" ref="L27" si="13">+J27*(1+K27)</f>
        <v>3868.3341974896371</v>
      </c>
      <c r="M27" s="106" t="s">
        <v>191</v>
      </c>
      <c r="O27" s="156">
        <f t="shared" si="9"/>
        <v>0</v>
      </c>
      <c r="P27" s="155">
        <f t="shared" si="10"/>
        <v>0</v>
      </c>
      <c r="Q27" s="155">
        <f t="shared" si="6"/>
        <v>0</v>
      </c>
    </row>
    <row r="28" spans="1:17" s="4" customFormat="1" ht="18" x14ac:dyDescent="0.25">
      <c r="A28" s="10"/>
      <c r="B28" s="52" t="s">
        <v>1</v>
      </c>
      <c r="C28" s="68" t="s">
        <v>12</v>
      </c>
      <c r="D28" s="68" t="s">
        <v>8</v>
      </c>
      <c r="E28" s="68" t="s">
        <v>3</v>
      </c>
      <c r="F28" s="55" t="s">
        <v>47</v>
      </c>
      <c r="G28" s="157">
        <v>56</v>
      </c>
      <c r="H28" s="157">
        <v>43</v>
      </c>
      <c r="I28" s="105">
        <v>50000</v>
      </c>
      <c r="J28" s="61">
        <v>44931.045090674583</v>
      </c>
      <c r="K28" s="168">
        <f t="shared" ref="K28:K29" si="14">+K27</f>
        <v>2.1000000000000001E-2</v>
      </c>
      <c r="L28" s="130">
        <f t="shared" si="2"/>
        <v>45874.597037578744</v>
      </c>
      <c r="M28" s="148"/>
      <c r="O28" s="156">
        <f t="shared" si="9"/>
        <v>1932034.9388990072</v>
      </c>
      <c r="P28" s="155">
        <f t="shared" si="10"/>
        <v>1972607.672615886</v>
      </c>
      <c r="Q28" s="155">
        <f t="shared" si="6"/>
        <v>40572.733716878807</v>
      </c>
    </row>
    <row r="29" spans="1:17" ht="18" x14ac:dyDescent="0.25">
      <c r="B29" s="6" t="s">
        <v>131</v>
      </c>
      <c r="C29" s="54" t="s">
        <v>12</v>
      </c>
      <c r="D29" s="54" t="s">
        <v>8</v>
      </c>
      <c r="E29" s="54" t="s">
        <v>3</v>
      </c>
      <c r="F29" s="55" t="s">
        <v>44</v>
      </c>
      <c r="G29" s="157">
        <v>20</v>
      </c>
      <c r="H29" s="157">
        <v>17</v>
      </c>
      <c r="I29" s="105">
        <v>50000</v>
      </c>
      <c r="J29" s="61">
        <v>50618.209199245102</v>
      </c>
      <c r="K29" s="168">
        <f t="shared" si="14"/>
        <v>2.1000000000000001E-2</v>
      </c>
      <c r="L29" s="130">
        <f t="shared" si="2"/>
        <v>51681.191592429248</v>
      </c>
      <c r="M29" s="35" t="s">
        <v>92</v>
      </c>
      <c r="O29" s="156">
        <f t="shared" si="9"/>
        <v>860509.55638716673</v>
      </c>
      <c r="P29" s="155">
        <f t="shared" si="10"/>
        <v>878580.25707129727</v>
      </c>
      <c r="Q29" s="155">
        <f t="shared" si="6"/>
        <v>18070.700684130541</v>
      </c>
    </row>
    <row r="30" spans="1:17" ht="26.25" x14ac:dyDescent="0.25">
      <c r="A30" s="4"/>
      <c r="B30" s="102" t="s">
        <v>88</v>
      </c>
      <c r="C30" s="103"/>
      <c r="D30" s="103"/>
      <c r="E30" s="103"/>
      <c r="F30" s="103"/>
      <c r="G30" s="158"/>
      <c r="H30" s="158"/>
      <c r="I30" s="103"/>
      <c r="J30" s="103"/>
      <c r="K30" s="108"/>
      <c r="L30" s="131"/>
      <c r="M30" s="104"/>
      <c r="O30" s="156"/>
      <c r="P30" s="155"/>
      <c r="Q30" s="155"/>
    </row>
    <row r="31" spans="1:17" ht="18" x14ac:dyDescent="0.25">
      <c r="A31" s="10"/>
      <c r="B31" s="52" t="s">
        <v>149</v>
      </c>
      <c r="C31" s="68" t="s">
        <v>13</v>
      </c>
      <c r="D31" s="68" t="s">
        <v>6</v>
      </c>
      <c r="E31" s="68" t="s">
        <v>4</v>
      </c>
      <c r="F31" s="53" t="s">
        <v>58</v>
      </c>
      <c r="G31" s="157">
        <v>40</v>
      </c>
      <c r="H31" s="157">
        <v>40</v>
      </c>
      <c r="I31" s="105">
        <v>20000</v>
      </c>
      <c r="J31" s="61">
        <v>52980.461888106292</v>
      </c>
      <c r="K31" s="107">
        <f>+K29</f>
        <v>2.1000000000000001E-2</v>
      </c>
      <c r="L31" s="130">
        <f t="shared" ref="L31:L35" si="15">+J31*(1+K31)</f>
        <v>54093.051587756519</v>
      </c>
      <c r="M31" s="146"/>
      <c r="O31" s="156">
        <f>+J31*H31</f>
        <v>2119218.4755242518</v>
      </c>
      <c r="P31" s="155">
        <f>+L31*H31</f>
        <v>2163722.0635102605</v>
      </c>
      <c r="Q31" s="155">
        <f t="shared" ref="Q31:Q35" si="16">+P31-O31</f>
        <v>44503.58798600873</v>
      </c>
    </row>
    <row r="32" spans="1:17" ht="18" x14ac:dyDescent="0.25">
      <c r="A32" s="10"/>
      <c r="B32" s="52" t="s">
        <v>72</v>
      </c>
      <c r="C32" s="68" t="s">
        <v>13</v>
      </c>
      <c r="D32" s="68" t="s">
        <v>6</v>
      </c>
      <c r="E32" s="68" t="s">
        <v>4</v>
      </c>
      <c r="F32" s="53" t="s">
        <v>165</v>
      </c>
      <c r="G32" s="157">
        <v>3</v>
      </c>
      <c r="H32" s="157">
        <v>3</v>
      </c>
      <c r="I32" s="105">
        <v>20000</v>
      </c>
      <c r="J32" s="61">
        <v>101018.29528634594</v>
      </c>
      <c r="K32" s="107">
        <f t="shared" ref="K32:K33" si="17">+K31</f>
        <v>2.1000000000000001E-2</v>
      </c>
      <c r="L32" s="130">
        <f t="shared" si="15"/>
        <v>103139.67948735919</v>
      </c>
      <c r="M32" s="146"/>
      <c r="O32" s="156">
        <f>+J32*H32</f>
        <v>303054.88585903781</v>
      </c>
      <c r="P32" s="155">
        <f>+L32*H32</f>
        <v>309419.03846207756</v>
      </c>
      <c r="Q32" s="155">
        <f t="shared" si="16"/>
        <v>6364.1526030397508</v>
      </c>
    </row>
    <row r="33" spans="1:17" s="4" customFormat="1" ht="18" x14ac:dyDescent="0.25">
      <c r="A33" s="10"/>
      <c r="B33" s="52" t="s">
        <v>73</v>
      </c>
      <c r="C33" s="68" t="s">
        <v>13</v>
      </c>
      <c r="D33" s="68" t="s">
        <v>6</v>
      </c>
      <c r="E33" s="68" t="s">
        <v>4</v>
      </c>
      <c r="F33" s="53" t="s">
        <v>166</v>
      </c>
      <c r="G33" s="157">
        <v>16</v>
      </c>
      <c r="H33" s="157">
        <v>16</v>
      </c>
      <c r="I33" s="105">
        <v>20000</v>
      </c>
      <c r="J33" s="61">
        <v>112878.94708860504</v>
      </c>
      <c r="K33" s="107">
        <f t="shared" si="17"/>
        <v>2.1000000000000001E-2</v>
      </c>
      <c r="L33" s="130">
        <f t="shared" si="15"/>
        <v>115249.40497746573</v>
      </c>
      <c r="M33" s="146"/>
      <c r="O33" s="156">
        <f>+J33*H33</f>
        <v>1806063.1534176806</v>
      </c>
      <c r="P33" s="155">
        <f>+L33*H33</f>
        <v>1843990.4796394517</v>
      </c>
      <c r="Q33" s="155">
        <f t="shared" si="16"/>
        <v>37927.326221771073</v>
      </c>
    </row>
    <row r="34" spans="1:17" s="4" customFormat="1" ht="18" x14ac:dyDescent="0.25">
      <c r="A34" s="10"/>
      <c r="B34" s="52" t="s">
        <v>189</v>
      </c>
      <c r="C34" s="111" t="s">
        <v>13</v>
      </c>
      <c r="D34" s="111" t="s">
        <v>6</v>
      </c>
      <c r="E34" s="111" t="s">
        <v>4</v>
      </c>
      <c r="F34" s="170" t="s">
        <v>190</v>
      </c>
      <c r="G34" s="157">
        <v>0</v>
      </c>
      <c r="H34" s="157">
        <v>0</v>
      </c>
      <c r="I34" s="105">
        <v>20000</v>
      </c>
      <c r="J34" s="61">
        <v>138103.22691</v>
      </c>
      <c r="K34" s="107">
        <f t="shared" ref="K34" si="18">+K33</f>
        <v>2.1000000000000001E-2</v>
      </c>
      <c r="L34" s="130">
        <f t="shared" ref="L34" si="19">+J34*(1+K34)</f>
        <v>141003.39467510997</v>
      </c>
      <c r="M34" s="146"/>
      <c r="O34" s="156">
        <f>+J34*H34</f>
        <v>0</v>
      </c>
      <c r="P34" s="155">
        <f>+L34*H34</f>
        <v>0</v>
      </c>
      <c r="Q34" s="155">
        <f t="shared" si="16"/>
        <v>0</v>
      </c>
    </row>
    <row r="35" spans="1:17" ht="15.75" customHeight="1" x14ac:dyDescent="0.25">
      <c r="A35" s="10"/>
      <c r="B35" s="6" t="s">
        <v>2</v>
      </c>
      <c r="C35" s="96" t="s">
        <v>13</v>
      </c>
      <c r="D35" s="96" t="s">
        <v>6</v>
      </c>
      <c r="E35" s="96" t="s">
        <v>3</v>
      </c>
      <c r="F35" s="9" t="s">
        <v>164</v>
      </c>
      <c r="G35" s="157">
        <v>30</v>
      </c>
      <c r="H35" s="157">
        <v>27</v>
      </c>
      <c r="I35" s="105">
        <v>50000</v>
      </c>
      <c r="J35" s="61">
        <v>58992.659902755397</v>
      </c>
      <c r="K35" s="107">
        <f>+K33</f>
        <v>2.1000000000000001E-2</v>
      </c>
      <c r="L35" s="130">
        <f t="shared" si="15"/>
        <v>60231.505760713255</v>
      </c>
      <c r="M35" s="106"/>
      <c r="O35" s="156">
        <f>+J35*H35</f>
        <v>1592801.8173743957</v>
      </c>
      <c r="P35" s="155">
        <f>+L35*H35</f>
        <v>1626250.6555392579</v>
      </c>
      <c r="Q35" s="155">
        <f t="shared" si="16"/>
        <v>33448.838164862245</v>
      </c>
    </row>
    <row r="36" spans="1:17" ht="26.25" x14ac:dyDescent="0.25">
      <c r="A36" s="4"/>
      <c r="B36" s="102" t="s">
        <v>89</v>
      </c>
      <c r="C36" s="103"/>
      <c r="D36" s="103"/>
      <c r="E36" s="103"/>
      <c r="F36" s="103"/>
      <c r="G36" s="103"/>
      <c r="H36" s="103"/>
      <c r="I36" s="103"/>
      <c r="J36" s="141"/>
      <c r="K36" s="103"/>
      <c r="L36" s="131"/>
      <c r="M36" s="143"/>
      <c r="O36" s="187">
        <f>SUM(O5:O35)</f>
        <v>289804883.96785784</v>
      </c>
      <c r="P36" s="187">
        <f t="shared" ref="P36:Q36" si="20">SUM(P5:P35)</f>
        <v>295451073.20563012</v>
      </c>
      <c r="Q36" s="187">
        <f t="shared" si="20"/>
        <v>5646189.2377721984</v>
      </c>
    </row>
    <row r="37" spans="1:17" s="85" customFormat="1" ht="18" x14ac:dyDescent="0.25">
      <c r="A37" s="1"/>
      <c r="B37" s="35" t="s">
        <v>152</v>
      </c>
      <c r="C37" s="36"/>
      <c r="D37" s="36"/>
      <c r="E37" s="36"/>
      <c r="F37" s="36"/>
      <c r="G37" s="83"/>
      <c r="H37" s="83"/>
      <c r="I37" s="105">
        <v>40000</v>
      </c>
      <c r="J37" s="61"/>
      <c r="K37" s="67"/>
      <c r="L37" s="130"/>
      <c r="M37" s="144"/>
    </row>
    <row r="38" spans="1:17" s="85" customFormat="1" ht="18" x14ac:dyDescent="0.25">
      <c r="A38" s="1"/>
      <c r="B38" s="35" t="s">
        <v>150</v>
      </c>
      <c r="C38" s="36"/>
      <c r="D38" s="36"/>
      <c r="E38" s="36"/>
      <c r="F38" s="36"/>
      <c r="G38" s="83"/>
      <c r="H38" s="83"/>
      <c r="I38" s="105">
        <v>4000</v>
      </c>
      <c r="J38" s="61"/>
      <c r="K38" s="67"/>
      <c r="L38" s="130"/>
      <c r="M38" s="144"/>
    </row>
    <row r="39" spans="1:17" ht="18" x14ac:dyDescent="0.25">
      <c r="B39" s="35" t="s">
        <v>32</v>
      </c>
      <c r="C39" s="36"/>
      <c r="D39" s="36"/>
      <c r="E39" s="36"/>
      <c r="F39" s="36"/>
      <c r="G39" s="83"/>
      <c r="H39" s="83"/>
      <c r="I39" s="105">
        <v>40000</v>
      </c>
      <c r="J39" s="61"/>
      <c r="K39" s="67"/>
      <c r="L39" s="130"/>
    </row>
    <row r="40" spans="1:17" ht="18" x14ac:dyDescent="0.25">
      <c r="A40" s="85"/>
      <c r="B40" s="35" t="s">
        <v>108</v>
      </c>
      <c r="C40" s="36"/>
      <c r="D40" s="36"/>
      <c r="E40" s="36"/>
      <c r="F40" s="36"/>
      <c r="G40" s="83"/>
      <c r="H40" s="83"/>
      <c r="I40" s="105">
        <v>30000</v>
      </c>
      <c r="J40" s="61"/>
      <c r="K40" s="67"/>
      <c r="L40" s="130"/>
    </row>
    <row r="41" spans="1:17" ht="18" x14ac:dyDescent="0.25">
      <c r="B41" s="35" t="s">
        <v>109</v>
      </c>
      <c r="C41" s="36"/>
      <c r="D41" s="36"/>
      <c r="E41" s="36"/>
      <c r="F41" s="36"/>
      <c r="G41" s="83"/>
      <c r="H41" s="83"/>
      <c r="I41" s="105">
        <v>16500</v>
      </c>
      <c r="J41" s="61"/>
      <c r="K41" s="67"/>
      <c r="L41" s="130"/>
    </row>
    <row r="42" spans="1:17" ht="18" x14ac:dyDescent="0.25">
      <c r="B42" s="71" t="s">
        <v>64</v>
      </c>
      <c r="C42" s="72"/>
      <c r="D42" s="72"/>
      <c r="E42" s="72"/>
      <c r="F42" s="72"/>
      <c r="G42" s="83"/>
      <c r="H42" s="83"/>
      <c r="I42" s="105">
        <v>16500</v>
      </c>
      <c r="J42" s="61"/>
      <c r="K42" s="67"/>
      <c r="L42" s="130"/>
      <c r="M42" s="1" t="s">
        <v>63</v>
      </c>
    </row>
    <row r="43" spans="1:17" ht="18" x14ac:dyDescent="0.25">
      <c r="B43" s="71" t="s">
        <v>41</v>
      </c>
      <c r="C43" s="72"/>
      <c r="D43" s="72"/>
      <c r="E43" s="72"/>
      <c r="F43" s="72"/>
      <c r="G43" s="83"/>
      <c r="H43" s="83"/>
      <c r="I43" s="105">
        <v>40000</v>
      </c>
      <c r="J43" s="61"/>
      <c r="K43" s="67"/>
      <c r="L43" s="130"/>
    </row>
    <row r="44" spans="1:17" s="47" customFormat="1" ht="20.25" x14ac:dyDescent="0.25">
      <c r="A44" s="1"/>
      <c r="B44" s="35" t="s">
        <v>128</v>
      </c>
      <c r="C44" s="36"/>
      <c r="D44" s="36"/>
      <c r="E44" s="36"/>
      <c r="F44" s="36"/>
      <c r="G44" s="83"/>
      <c r="H44" s="83"/>
      <c r="I44" s="105">
        <v>4500</v>
      </c>
      <c r="J44" s="61"/>
      <c r="K44" s="107"/>
      <c r="L44" s="130"/>
      <c r="M44" s="144"/>
    </row>
    <row r="45" spans="1:17" s="47" customFormat="1" ht="20.25" x14ac:dyDescent="0.25">
      <c r="A45" s="66"/>
      <c r="B45" s="35" t="s">
        <v>129</v>
      </c>
      <c r="C45" s="36"/>
      <c r="D45" s="36"/>
      <c r="E45" s="36"/>
      <c r="F45" s="36"/>
      <c r="G45" s="83"/>
      <c r="H45" s="83"/>
      <c r="I45" s="105">
        <v>13000</v>
      </c>
      <c r="J45" s="105"/>
      <c r="K45" s="67"/>
      <c r="L45" s="105"/>
      <c r="M45" s="1"/>
    </row>
    <row r="46" spans="1:17" ht="20.25" x14ac:dyDescent="0.25">
      <c r="A46" s="47"/>
      <c r="B46" s="86" t="s">
        <v>77</v>
      </c>
      <c r="C46" s="86"/>
      <c r="D46" s="86"/>
      <c r="E46" s="86"/>
      <c r="F46" s="86"/>
      <c r="G46" s="86"/>
      <c r="H46" s="86"/>
      <c r="I46" s="86"/>
      <c r="J46" s="87"/>
      <c r="K46" s="86"/>
      <c r="L46" s="132"/>
      <c r="M46" s="80"/>
    </row>
    <row r="47" spans="1:17" ht="18" x14ac:dyDescent="0.25">
      <c r="B47" s="71" t="s">
        <v>42</v>
      </c>
      <c r="C47" s="72"/>
      <c r="D47" s="72"/>
      <c r="E47" s="72"/>
      <c r="F47" s="72"/>
      <c r="G47" s="7">
        <v>44</v>
      </c>
      <c r="H47" s="7">
        <v>42</v>
      </c>
      <c r="I47" s="60"/>
      <c r="J47" s="61">
        <v>42538.217530486705</v>
      </c>
      <c r="K47" s="149">
        <v>0.02</v>
      </c>
      <c r="L47" s="130">
        <f t="shared" ref="L47:L50" si="21">+J47*(1+K47)</f>
        <v>43388.981881096443</v>
      </c>
      <c r="O47" s="156">
        <f>+J47*H47</f>
        <v>1786605.1362804417</v>
      </c>
      <c r="P47" s="155">
        <f>+L47*H47</f>
        <v>1822337.2390060506</v>
      </c>
      <c r="Q47" s="155">
        <f t="shared" ref="Q47" si="22">+P47-O47</f>
        <v>35732.102725608973</v>
      </c>
    </row>
    <row r="48" spans="1:17" ht="18.75" thickBot="1" x14ac:dyDescent="0.3">
      <c r="B48" s="71" t="s">
        <v>40</v>
      </c>
      <c r="C48" s="72"/>
      <c r="D48" s="72"/>
      <c r="E48" s="72"/>
      <c r="F48" s="72"/>
      <c r="G48" s="7"/>
      <c r="H48" s="7"/>
      <c r="I48" s="60"/>
      <c r="J48" s="138">
        <v>140.96084920182668</v>
      </c>
      <c r="K48" s="107">
        <v>0.7</v>
      </c>
      <c r="L48" s="139">
        <f t="shared" si="21"/>
        <v>239.63344364310535</v>
      </c>
      <c r="M48" s="142"/>
      <c r="O48" s="160">
        <f>SUM(O5:O47)</f>
        <v>581396373.07199609</v>
      </c>
      <c r="P48" s="160">
        <f>SUM(P5:P47)</f>
        <v>592724483.65026629</v>
      </c>
      <c r="Q48" s="161">
        <f t="shared" ref="Q48" si="23">+P48-O48</f>
        <v>11328110.578270197</v>
      </c>
    </row>
    <row r="49" spans="2:17" ht="21" thickBot="1" x14ac:dyDescent="0.3">
      <c r="B49" s="71" t="s">
        <v>200</v>
      </c>
      <c r="C49" s="72"/>
      <c r="D49" s="72"/>
      <c r="E49" s="72"/>
      <c r="F49" s="72"/>
      <c r="G49" s="7"/>
      <c r="H49" s="7"/>
      <c r="I49" s="60"/>
      <c r="J49" s="138">
        <v>25.033549901208218</v>
      </c>
      <c r="K49" s="107">
        <v>0.2</v>
      </c>
      <c r="L49" s="139">
        <f t="shared" si="21"/>
        <v>30.04025988144986</v>
      </c>
      <c r="Q49" s="159">
        <f>+Q48/O48</f>
        <v>1.9484315869420468E-2</v>
      </c>
    </row>
    <row r="50" spans="2:17" ht="18" x14ac:dyDescent="0.25">
      <c r="B50" s="71" t="s">
        <v>201</v>
      </c>
      <c r="C50" s="72"/>
      <c r="D50" s="72"/>
      <c r="E50" s="72"/>
      <c r="F50" s="72"/>
      <c r="G50" s="7"/>
      <c r="H50" s="7"/>
      <c r="I50" s="60"/>
      <c r="J50" s="138">
        <v>29.265228207991701</v>
      </c>
      <c r="K50" s="107">
        <v>0.02</v>
      </c>
      <c r="L50" s="139">
        <f t="shared" si="21"/>
        <v>29.850532772151535</v>
      </c>
    </row>
    <row r="51" spans="2:17" ht="18" x14ac:dyDescent="0.25">
      <c r="D51" s="1"/>
      <c r="E51" s="1"/>
      <c r="F51" s="1"/>
      <c r="G51" s="134"/>
      <c r="H51" s="134"/>
      <c r="I51" s="135"/>
      <c r="J51" s="80"/>
      <c r="K51" s="136"/>
      <c r="L51" s="137"/>
    </row>
    <row r="52" spans="2:17" ht="18" x14ac:dyDescent="0.25">
      <c r="D52" s="1"/>
      <c r="E52" s="1"/>
      <c r="F52" s="1"/>
      <c r="G52" s="134"/>
      <c r="H52" s="134"/>
      <c r="I52" s="135"/>
      <c r="J52" s="80"/>
      <c r="K52" s="136"/>
      <c r="L52" s="137"/>
    </row>
    <row r="53" spans="2:17" ht="20.25" x14ac:dyDescent="0.25">
      <c r="B53" s="47" t="s">
        <v>49</v>
      </c>
      <c r="C53" s="47"/>
      <c r="D53" s="112"/>
      <c r="E53" s="112"/>
      <c r="F53" s="112"/>
      <c r="G53" s="47"/>
      <c r="H53" s="47"/>
      <c r="I53" s="47"/>
      <c r="J53" s="47"/>
      <c r="K53" s="47"/>
      <c r="L53" s="47"/>
      <c r="M53" s="47"/>
    </row>
    <row r="54" spans="2:17" ht="20.25" x14ac:dyDescent="0.25">
      <c r="B54" s="113">
        <v>43984</v>
      </c>
      <c r="C54" s="114" t="s">
        <v>50</v>
      </c>
      <c r="D54" s="115"/>
      <c r="E54" s="115"/>
      <c r="F54" s="115"/>
      <c r="G54" s="114"/>
      <c r="H54" s="114"/>
      <c r="I54" s="114"/>
      <c r="J54" s="114"/>
      <c r="K54" s="114"/>
      <c r="L54" s="114"/>
      <c r="M54" s="116"/>
    </row>
    <row r="55" spans="2:17" ht="20.25" x14ac:dyDescent="0.25">
      <c r="B55" s="117"/>
      <c r="C55" s="114" t="s">
        <v>106</v>
      </c>
      <c r="D55" s="115"/>
      <c r="E55" s="115"/>
      <c r="F55" s="115"/>
      <c r="G55" s="114"/>
      <c r="H55" s="114"/>
      <c r="I55" s="114"/>
      <c r="J55" s="114"/>
      <c r="K55" s="114"/>
      <c r="L55" s="114"/>
      <c r="M55" s="116"/>
    </row>
    <row r="56" spans="2:17" ht="20.25" x14ac:dyDescent="0.25">
      <c r="B56" s="117"/>
      <c r="C56" s="114" t="s">
        <v>52</v>
      </c>
      <c r="D56" s="115"/>
      <c r="E56" s="115"/>
      <c r="F56" s="115"/>
      <c r="G56" s="114"/>
      <c r="H56" s="114"/>
      <c r="I56" s="114"/>
      <c r="J56" s="114"/>
      <c r="K56" s="114"/>
      <c r="L56" s="114"/>
      <c r="M56" s="116"/>
    </row>
    <row r="57" spans="2:17" ht="20.25" x14ac:dyDescent="0.25">
      <c r="B57" s="113">
        <v>44034</v>
      </c>
      <c r="C57" s="114" t="s">
        <v>51</v>
      </c>
      <c r="D57" s="115"/>
      <c r="E57" s="115"/>
      <c r="F57" s="115"/>
      <c r="G57" s="114"/>
      <c r="H57" s="114"/>
      <c r="I57" s="114"/>
      <c r="J57" s="114"/>
      <c r="K57" s="114"/>
      <c r="L57" s="114"/>
      <c r="M57" s="116"/>
    </row>
    <row r="58" spans="2:17" ht="20.25" x14ac:dyDescent="0.25">
      <c r="B58" s="113">
        <v>44144</v>
      </c>
      <c r="C58" s="114" t="s">
        <v>60</v>
      </c>
      <c r="D58" s="118"/>
      <c r="E58" s="118"/>
      <c r="F58" s="118"/>
      <c r="G58" s="72"/>
      <c r="H58" s="72"/>
      <c r="I58" s="72"/>
      <c r="J58" s="72"/>
      <c r="K58" s="72"/>
      <c r="L58" s="72"/>
      <c r="M58" s="119"/>
    </row>
    <row r="59" spans="2:17" ht="20.25" x14ac:dyDescent="0.25">
      <c r="B59" s="113">
        <v>44228</v>
      </c>
      <c r="C59" s="114" t="s">
        <v>68</v>
      </c>
      <c r="D59" s="118"/>
      <c r="E59" s="118"/>
      <c r="F59" s="118"/>
      <c r="G59" s="72"/>
      <c r="H59" s="72"/>
      <c r="I59" s="72"/>
      <c r="J59" s="72"/>
      <c r="K59" s="72"/>
      <c r="L59" s="72"/>
      <c r="M59" s="119"/>
    </row>
    <row r="60" spans="2:17" ht="20.25" x14ac:dyDescent="0.25">
      <c r="B60" s="113">
        <v>44254</v>
      </c>
      <c r="C60" s="114" t="s">
        <v>66</v>
      </c>
      <c r="D60" s="118"/>
      <c r="E60" s="118"/>
      <c r="F60" s="118"/>
      <c r="G60" s="72"/>
      <c r="H60" s="72"/>
      <c r="I60" s="72"/>
      <c r="J60" s="72"/>
      <c r="K60" s="72"/>
      <c r="L60" s="72"/>
      <c r="M60" s="119"/>
    </row>
    <row r="61" spans="2:17" ht="20.25" x14ac:dyDescent="0.25">
      <c r="B61" s="113"/>
      <c r="C61" s="114"/>
      <c r="D61" s="114" t="s">
        <v>67</v>
      </c>
      <c r="E61" s="118"/>
      <c r="F61" s="118"/>
      <c r="G61" s="72"/>
      <c r="H61" s="72"/>
      <c r="I61" s="72"/>
      <c r="J61" s="72"/>
      <c r="K61" s="72"/>
      <c r="L61" s="72"/>
      <c r="M61" s="119"/>
    </row>
    <row r="62" spans="2:17" ht="20.25" x14ac:dyDescent="0.25">
      <c r="B62" s="113">
        <v>44276</v>
      </c>
      <c r="C62" s="114" t="s">
        <v>69</v>
      </c>
      <c r="D62" s="118"/>
      <c r="E62" s="118"/>
      <c r="F62" s="118"/>
      <c r="G62" s="72"/>
      <c r="H62" s="72"/>
      <c r="I62" s="72"/>
      <c r="J62" s="72"/>
      <c r="K62" s="72"/>
      <c r="L62" s="72"/>
      <c r="M62" s="119"/>
    </row>
    <row r="63" spans="2:17" ht="20.25" x14ac:dyDescent="0.25">
      <c r="B63" s="113">
        <v>44286</v>
      </c>
      <c r="C63" s="114" t="s">
        <v>70</v>
      </c>
      <c r="D63" s="118"/>
      <c r="E63" s="118"/>
      <c r="F63" s="118"/>
      <c r="G63" s="72"/>
      <c r="H63" s="72"/>
      <c r="I63" s="72"/>
      <c r="J63" s="72"/>
      <c r="K63" s="72"/>
      <c r="L63" s="72"/>
      <c r="M63" s="119"/>
    </row>
    <row r="64" spans="2:17" ht="20.25" x14ac:dyDescent="0.25">
      <c r="B64" s="113">
        <v>44394</v>
      </c>
      <c r="C64" s="114" t="s">
        <v>71</v>
      </c>
      <c r="D64" s="118"/>
      <c r="E64" s="118"/>
      <c r="F64" s="118"/>
      <c r="G64" s="72"/>
      <c r="H64" s="72"/>
      <c r="I64" s="72"/>
      <c r="J64" s="72"/>
      <c r="K64" s="72"/>
      <c r="L64" s="72"/>
      <c r="M64" s="119"/>
    </row>
    <row r="65" spans="2:13" ht="20.25" x14ac:dyDescent="0.25">
      <c r="B65" s="113">
        <v>44508</v>
      </c>
      <c r="C65" s="114" t="s">
        <v>74</v>
      </c>
      <c r="D65" s="118"/>
      <c r="E65" s="118"/>
      <c r="F65" s="118"/>
      <c r="G65" s="72"/>
      <c r="H65" s="72"/>
      <c r="I65" s="72"/>
      <c r="J65" s="72"/>
      <c r="K65" s="72"/>
      <c r="L65" s="72"/>
      <c r="M65" s="119"/>
    </row>
    <row r="66" spans="2:13" ht="20.25" x14ac:dyDescent="0.25">
      <c r="B66" s="113">
        <v>44572</v>
      </c>
      <c r="C66" s="120">
        <v>4.22</v>
      </c>
      <c r="D66" s="114" t="s">
        <v>75</v>
      </c>
      <c r="E66" s="114"/>
      <c r="F66" s="118"/>
      <c r="G66" s="72"/>
      <c r="H66" s="72"/>
      <c r="I66" s="72"/>
      <c r="J66" s="72"/>
      <c r="K66" s="72"/>
      <c r="L66" s="72"/>
      <c r="M66" s="119"/>
    </row>
    <row r="67" spans="2:13" ht="20.25" x14ac:dyDescent="0.25">
      <c r="B67" s="113"/>
      <c r="C67" s="114"/>
      <c r="D67" s="114" t="s">
        <v>76</v>
      </c>
      <c r="E67" s="114"/>
      <c r="F67" s="118"/>
      <c r="G67" s="72"/>
      <c r="H67" s="72"/>
      <c r="I67" s="72"/>
      <c r="J67" s="72"/>
      <c r="K67" s="72"/>
      <c r="L67" s="72"/>
      <c r="M67" s="119"/>
    </row>
    <row r="68" spans="2:13" ht="20.25" x14ac:dyDescent="0.25">
      <c r="B68" s="113">
        <v>44622</v>
      </c>
      <c r="C68" s="120">
        <v>4.22</v>
      </c>
      <c r="D68" s="114" t="s">
        <v>78</v>
      </c>
      <c r="E68" s="114"/>
      <c r="F68" s="118"/>
      <c r="G68" s="72"/>
      <c r="H68" s="72"/>
      <c r="I68" s="72"/>
      <c r="J68" s="72"/>
      <c r="K68" s="72"/>
      <c r="L68" s="72"/>
      <c r="M68" s="119"/>
    </row>
    <row r="69" spans="2:13" ht="20.25" x14ac:dyDescent="0.25">
      <c r="B69" s="113">
        <v>44636</v>
      </c>
      <c r="C69" s="120">
        <v>4.2300000000000004</v>
      </c>
      <c r="D69" s="114" t="s">
        <v>79</v>
      </c>
      <c r="E69" s="118"/>
      <c r="F69" s="118"/>
      <c r="G69" s="72"/>
      <c r="H69" s="72"/>
      <c r="I69" s="72"/>
      <c r="J69" s="72"/>
      <c r="K69" s="72"/>
      <c r="L69" s="72"/>
      <c r="M69" s="119"/>
    </row>
    <row r="70" spans="2:13" ht="20.25" x14ac:dyDescent="0.25">
      <c r="B70" s="113">
        <v>44674</v>
      </c>
      <c r="C70" s="120">
        <v>4.24</v>
      </c>
      <c r="D70" s="114" t="s">
        <v>82</v>
      </c>
      <c r="E70" s="118"/>
      <c r="F70" s="118"/>
      <c r="G70" s="72"/>
      <c r="H70" s="72"/>
      <c r="I70" s="72"/>
      <c r="J70" s="72"/>
      <c r="K70" s="72"/>
      <c r="L70" s="72"/>
      <c r="M70" s="119"/>
    </row>
    <row r="71" spans="2:13" ht="20.25" x14ac:dyDescent="0.25">
      <c r="B71" s="113"/>
      <c r="C71" s="120"/>
      <c r="D71" s="114" t="s">
        <v>80</v>
      </c>
      <c r="E71" s="118"/>
      <c r="F71" s="118"/>
      <c r="G71" s="72"/>
      <c r="H71" s="72"/>
      <c r="I71" s="72"/>
      <c r="J71" s="72"/>
      <c r="K71" s="72"/>
      <c r="L71" s="72"/>
      <c r="M71" s="119"/>
    </row>
    <row r="72" spans="2:13" ht="20.25" x14ac:dyDescent="0.25">
      <c r="B72" s="113"/>
      <c r="C72" s="120"/>
      <c r="D72" s="114" t="s">
        <v>81</v>
      </c>
      <c r="E72" s="118"/>
      <c r="F72" s="118"/>
      <c r="G72" s="72"/>
      <c r="H72" s="72"/>
      <c r="I72" s="72"/>
      <c r="J72" s="72"/>
      <c r="K72" s="72"/>
      <c r="L72" s="72"/>
      <c r="M72" s="119"/>
    </row>
    <row r="73" spans="2:13" ht="20.25" x14ac:dyDescent="0.25">
      <c r="B73" s="113"/>
      <c r="C73" s="120"/>
      <c r="D73" s="114" t="s">
        <v>83</v>
      </c>
      <c r="E73" s="118"/>
      <c r="F73" s="118"/>
      <c r="G73" s="72"/>
      <c r="H73" s="72"/>
      <c r="I73" s="72"/>
      <c r="J73" s="72"/>
      <c r="K73" s="72"/>
      <c r="L73" s="72"/>
      <c r="M73" s="119"/>
    </row>
    <row r="74" spans="2:13" ht="20.25" x14ac:dyDescent="0.25">
      <c r="B74" s="113"/>
      <c r="C74" s="120"/>
      <c r="D74" s="114" t="s">
        <v>84</v>
      </c>
      <c r="E74" s="118"/>
      <c r="F74" s="118"/>
      <c r="G74" s="72"/>
      <c r="H74" s="72"/>
      <c r="I74" s="72"/>
      <c r="J74" s="72"/>
      <c r="K74" s="72"/>
      <c r="L74" s="72"/>
      <c r="M74" s="119"/>
    </row>
    <row r="75" spans="2:13" ht="20.25" x14ac:dyDescent="0.25">
      <c r="B75" s="113">
        <v>44740</v>
      </c>
      <c r="C75" s="120">
        <v>4.25</v>
      </c>
      <c r="D75" s="114" t="s">
        <v>85</v>
      </c>
      <c r="E75" s="118"/>
      <c r="F75" s="118"/>
      <c r="G75" s="72"/>
      <c r="H75" s="72"/>
      <c r="I75" s="72"/>
      <c r="J75" s="72"/>
      <c r="K75" s="72"/>
      <c r="L75" s="72"/>
      <c r="M75" s="119"/>
    </row>
    <row r="76" spans="2:13" ht="20.25" x14ac:dyDescent="0.25">
      <c r="B76" s="113">
        <v>44740</v>
      </c>
      <c r="C76" s="120">
        <v>4.26</v>
      </c>
      <c r="D76" s="114" t="s">
        <v>86</v>
      </c>
      <c r="E76" s="118"/>
      <c r="F76" s="118"/>
      <c r="G76" s="72"/>
      <c r="H76" s="72"/>
      <c r="I76" s="72"/>
      <c r="J76" s="72"/>
      <c r="K76" s="72"/>
      <c r="L76" s="72"/>
      <c r="M76" s="119"/>
    </row>
    <row r="77" spans="2:13" ht="20.25" x14ac:dyDescent="0.25">
      <c r="B77" s="113">
        <v>44853</v>
      </c>
      <c r="C77" s="120">
        <v>5</v>
      </c>
      <c r="D77" s="114" t="s">
        <v>97</v>
      </c>
      <c r="E77" s="118"/>
      <c r="F77" s="118"/>
      <c r="G77" s="72"/>
      <c r="H77" s="72"/>
      <c r="I77" s="72"/>
      <c r="J77" s="72"/>
      <c r="K77" s="72"/>
      <c r="L77" s="72"/>
      <c r="M77" s="119"/>
    </row>
    <row r="78" spans="2:13" ht="20.25" x14ac:dyDescent="0.25">
      <c r="B78" s="113">
        <v>44873</v>
      </c>
      <c r="C78" s="120">
        <v>5.1100000000000003</v>
      </c>
      <c r="D78" s="114" t="s">
        <v>99</v>
      </c>
      <c r="E78" s="118"/>
      <c r="F78" s="118"/>
      <c r="G78" s="72"/>
      <c r="H78" s="72"/>
      <c r="I78" s="72"/>
      <c r="J78" s="72"/>
      <c r="K78" s="72"/>
      <c r="L78" s="72"/>
      <c r="M78" s="119"/>
    </row>
    <row r="79" spans="2:13" ht="20.25" x14ac:dyDescent="0.25">
      <c r="B79" s="113">
        <v>44924</v>
      </c>
      <c r="C79" s="120">
        <v>5.13</v>
      </c>
      <c r="D79" s="114" t="s">
        <v>107</v>
      </c>
      <c r="E79" s="118"/>
      <c r="F79" s="118"/>
      <c r="G79" s="72"/>
      <c r="H79" s="72"/>
      <c r="I79" s="72"/>
      <c r="J79" s="72"/>
      <c r="K79" s="72"/>
      <c r="L79" s="72"/>
      <c r="M79" s="119"/>
    </row>
    <row r="80" spans="2:13" ht="20.25" x14ac:dyDescent="0.25">
      <c r="B80" s="113">
        <v>44932</v>
      </c>
      <c r="C80" s="120">
        <v>5.14</v>
      </c>
      <c r="D80" s="114" t="s">
        <v>114</v>
      </c>
      <c r="E80" s="118"/>
      <c r="F80" s="118"/>
      <c r="G80" s="72"/>
      <c r="H80" s="72"/>
      <c r="I80" s="72"/>
      <c r="J80" s="72"/>
      <c r="K80" s="72"/>
      <c r="L80" s="72"/>
      <c r="M80" s="119"/>
    </row>
    <row r="81" spans="2:13" ht="20.25" x14ac:dyDescent="0.25">
      <c r="B81" s="113">
        <v>44986</v>
      </c>
      <c r="C81" s="120">
        <v>5.15</v>
      </c>
      <c r="D81" s="114" t="s">
        <v>115</v>
      </c>
      <c r="E81" s="118"/>
      <c r="F81" s="118"/>
      <c r="G81" s="72"/>
      <c r="H81" s="72"/>
      <c r="I81" s="72"/>
      <c r="J81" s="72"/>
      <c r="K81" s="72"/>
      <c r="L81" s="72"/>
      <c r="M81" s="119"/>
    </row>
    <row r="82" spans="2:13" ht="20.25" x14ac:dyDescent="0.25">
      <c r="B82" s="113">
        <v>45017</v>
      </c>
      <c r="C82" s="120">
        <v>5.16</v>
      </c>
      <c r="D82" s="114" t="s">
        <v>118</v>
      </c>
      <c r="E82" s="118"/>
      <c r="F82" s="118"/>
      <c r="G82" s="72"/>
      <c r="H82" s="72"/>
      <c r="I82" s="72"/>
      <c r="J82" s="72"/>
      <c r="K82" s="72"/>
      <c r="L82" s="72"/>
      <c r="M82" s="119"/>
    </row>
    <row r="83" spans="2:13" ht="20.25" x14ac:dyDescent="0.25">
      <c r="B83" s="113">
        <v>45047</v>
      </c>
      <c r="C83" s="120">
        <v>5.17</v>
      </c>
      <c r="D83" s="114" t="s">
        <v>118</v>
      </c>
      <c r="E83" s="118"/>
      <c r="F83" s="118"/>
      <c r="G83" s="72"/>
      <c r="H83" s="72"/>
      <c r="I83" s="72"/>
      <c r="J83" s="72"/>
      <c r="K83" s="72"/>
      <c r="L83" s="72"/>
      <c r="M83" s="119"/>
    </row>
    <row r="84" spans="2:13" ht="20.25" x14ac:dyDescent="0.25">
      <c r="B84" s="113">
        <v>45078</v>
      </c>
      <c r="C84" s="120">
        <v>5.18</v>
      </c>
      <c r="D84" s="114" t="s">
        <v>120</v>
      </c>
      <c r="E84" s="118"/>
      <c r="F84" s="118"/>
      <c r="G84" s="72"/>
      <c r="H84" s="72"/>
      <c r="I84" s="72"/>
      <c r="J84" s="72"/>
      <c r="K84" s="72"/>
      <c r="L84" s="72"/>
      <c r="M84" s="119"/>
    </row>
    <row r="85" spans="2:13" ht="20.25" x14ac:dyDescent="0.25">
      <c r="B85" s="113">
        <v>45108</v>
      </c>
      <c r="C85" s="120">
        <v>5.19</v>
      </c>
      <c r="D85" s="114" t="s">
        <v>123</v>
      </c>
      <c r="E85" s="118"/>
      <c r="F85" s="118"/>
      <c r="G85" s="72"/>
      <c r="H85" s="72"/>
      <c r="I85" s="72"/>
      <c r="J85" s="72"/>
      <c r="K85" s="72"/>
      <c r="L85" s="72"/>
      <c r="M85" s="119"/>
    </row>
    <row r="86" spans="2:13" ht="20.25" x14ac:dyDescent="0.25">
      <c r="B86" s="113">
        <v>45108</v>
      </c>
      <c r="C86" s="120">
        <v>5.1909999999999998</v>
      </c>
      <c r="D86" s="114" t="s">
        <v>121</v>
      </c>
      <c r="E86" s="118"/>
      <c r="F86" s="118"/>
      <c r="G86" s="72"/>
      <c r="H86" s="72"/>
      <c r="I86" s="72"/>
      <c r="J86" s="72"/>
      <c r="K86" s="72"/>
      <c r="L86" s="72"/>
      <c r="M86" s="119"/>
    </row>
    <row r="87" spans="2:13" ht="20.25" x14ac:dyDescent="0.25">
      <c r="B87" s="113">
        <v>45139</v>
      </c>
      <c r="C87" s="120">
        <v>5.2</v>
      </c>
      <c r="D87" s="114" t="s">
        <v>122</v>
      </c>
      <c r="E87" s="118"/>
      <c r="F87" s="118"/>
      <c r="G87" s="72"/>
      <c r="H87" s="72"/>
      <c r="I87" s="72"/>
      <c r="J87" s="72"/>
      <c r="K87" s="72"/>
      <c r="L87" s="72"/>
      <c r="M87" s="119"/>
    </row>
    <row r="88" spans="2:13" ht="20.25" x14ac:dyDescent="0.25">
      <c r="B88" s="113">
        <v>45170</v>
      </c>
      <c r="C88" s="120">
        <v>5.21</v>
      </c>
      <c r="D88" s="114" t="s">
        <v>124</v>
      </c>
      <c r="E88" s="118"/>
      <c r="F88" s="118"/>
      <c r="G88" s="72"/>
      <c r="H88" s="72"/>
      <c r="I88" s="72"/>
      <c r="J88" s="72"/>
      <c r="K88" s="72"/>
      <c r="L88" s="72"/>
      <c r="M88" s="119"/>
    </row>
    <row r="89" spans="2:13" ht="20.25" x14ac:dyDescent="0.25">
      <c r="B89" s="113">
        <v>45183</v>
      </c>
      <c r="C89" s="120">
        <v>5.22</v>
      </c>
      <c r="D89" s="114" t="s">
        <v>125</v>
      </c>
      <c r="E89" s="118"/>
      <c r="F89" s="118"/>
      <c r="G89" s="72"/>
      <c r="H89" s="72"/>
      <c r="I89" s="72"/>
      <c r="J89" s="72"/>
      <c r="K89" s="72"/>
      <c r="L89" s="72"/>
      <c r="M89" s="119"/>
    </row>
    <row r="90" spans="2:13" ht="20.25" x14ac:dyDescent="0.25">
      <c r="B90" s="113">
        <v>45200</v>
      </c>
      <c r="C90" s="120">
        <v>5.23</v>
      </c>
      <c r="D90" s="114" t="s">
        <v>124</v>
      </c>
      <c r="E90" s="118"/>
      <c r="F90" s="118"/>
      <c r="G90" s="72"/>
      <c r="H90" s="72"/>
      <c r="I90" s="72"/>
      <c r="J90" s="72"/>
      <c r="K90" s="72"/>
      <c r="L90" s="72"/>
      <c r="M90" s="119"/>
    </row>
    <row r="91" spans="2:13" ht="20.25" x14ac:dyDescent="0.25">
      <c r="B91" s="113">
        <v>45208</v>
      </c>
      <c r="C91" s="120">
        <v>5.2309999999999999</v>
      </c>
      <c r="D91" s="114" t="s">
        <v>126</v>
      </c>
      <c r="E91" s="118"/>
      <c r="F91" s="118"/>
      <c r="G91" s="72"/>
      <c r="H91" s="72"/>
      <c r="I91" s="72"/>
      <c r="J91" s="72"/>
      <c r="K91" s="72"/>
      <c r="L91" s="72"/>
      <c r="M91" s="119"/>
    </row>
    <row r="92" spans="2:13" ht="20.25" x14ac:dyDescent="0.25">
      <c r="B92" s="113">
        <v>45231</v>
      </c>
      <c r="C92" s="120">
        <v>5.24</v>
      </c>
      <c r="D92" s="114" t="s">
        <v>127</v>
      </c>
      <c r="E92" s="118"/>
      <c r="F92" s="118"/>
      <c r="G92" s="72"/>
      <c r="H92" s="72"/>
      <c r="I92" s="72"/>
      <c r="J92" s="72"/>
      <c r="K92" s="72"/>
      <c r="L92" s="72"/>
      <c r="M92" s="119"/>
    </row>
    <row r="93" spans="2:13" ht="20.25" x14ac:dyDescent="0.25">
      <c r="B93" s="113">
        <v>45261</v>
      </c>
      <c r="C93" s="120">
        <v>5.25</v>
      </c>
      <c r="D93" s="114" t="s">
        <v>127</v>
      </c>
      <c r="E93" s="118"/>
      <c r="F93" s="118"/>
      <c r="G93" s="72"/>
      <c r="H93" s="72"/>
      <c r="I93" s="72"/>
      <c r="J93" s="72"/>
      <c r="K93" s="72"/>
      <c r="L93" s="72"/>
      <c r="M93" s="119"/>
    </row>
    <row r="94" spans="2:13" ht="20.25" x14ac:dyDescent="0.25">
      <c r="B94" s="113">
        <v>45292</v>
      </c>
      <c r="C94" s="120">
        <v>5.26</v>
      </c>
      <c r="D94" s="114" t="s">
        <v>130</v>
      </c>
      <c r="E94" s="118"/>
      <c r="F94" s="118"/>
      <c r="G94" s="72"/>
      <c r="H94" s="72"/>
      <c r="I94" s="72"/>
      <c r="J94" s="72"/>
      <c r="K94" s="72"/>
      <c r="L94" s="72"/>
      <c r="M94" s="119"/>
    </row>
    <row r="95" spans="2:13" ht="20.25" x14ac:dyDescent="0.25">
      <c r="B95" s="113">
        <v>45323</v>
      </c>
      <c r="C95" s="120">
        <v>5.27</v>
      </c>
      <c r="D95" s="114" t="s">
        <v>139</v>
      </c>
      <c r="E95" s="118"/>
      <c r="F95" s="118"/>
      <c r="G95" s="72"/>
      <c r="H95" s="72"/>
      <c r="I95" s="72"/>
      <c r="J95" s="72"/>
      <c r="K95" s="72"/>
      <c r="L95" s="72"/>
      <c r="M95" s="119"/>
    </row>
    <row r="96" spans="2:13" ht="20.25" x14ac:dyDescent="0.25">
      <c r="B96" s="113">
        <v>45352</v>
      </c>
      <c r="C96" s="120">
        <v>5.28</v>
      </c>
      <c r="D96" s="114" t="s">
        <v>140</v>
      </c>
      <c r="E96" s="118"/>
      <c r="F96" s="118"/>
      <c r="G96" s="72"/>
      <c r="H96" s="72"/>
      <c r="I96" s="72"/>
      <c r="J96" s="72"/>
      <c r="K96" s="72"/>
      <c r="L96" s="72"/>
      <c r="M96" s="119"/>
    </row>
    <row r="97" spans="2:13" ht="20.25" x14ac:dyDescent="0.25">
      <c r="B97" s="113">
        <v>45383</v>
      </c>
      <c r="C97" s="120">
        <v>5.29</v>
      </c>
      <c r="D97" s="114" t="s">
        <v>141</v>
      </c>
      <c r="E97" s="118"/>
      <c r="F97" s="118"/>
      <c r="G97" s="72"/>
      <c r="H97" s="72"/>
      <c r="I97" s="72"/>
      <c r="J97" s="72"/>
      <c r="K97" s="72"/>
      <c r="L97" s="72"/>
      <c r="M97" s="119"/>
    </row>
    <row r="98" spans="2:13" ht="20.25" x14ac:dyDescent="0.25">
      <c r="B98" s="113">
        <v>45413</v>
      </c>
      <c r="C98" s="120">
        <v>5.3</v>
      </c>
      <c r="D98" s="114" t="s">
        <v>142</v>
      </c>
      <c r="E98" s="118"/>
      <c r="F98" s="118"/>
      <c r="G98" s="72"/>
      <c r="H98" s="72"/>
      <c r="I98" s="72"/>
      <c r="J98" s="72"/>
      <c r="K98" s="72"/>
      <c r="L98" s="72"/>
      <c r="M98" s="119"/>
    </row>
    <row r="99" spans="2:13" ht="20.25" x14ac:dyDescent="0.25">
      <c r="B99" s="113">
        <v>45444</v>
      </c>
      <c r="C99" s="120">
        <v>5.31</v>
      </c>
      <c r="D99" s="114" t="s">
        <v>143</v>
      </c>
      <c r="E99" s="118"/>
      <c r="F99" s="118"/>
      <c r="G99" s="72"/>
      <c r="H99" s="72"/>
      <c r="I99" s="72"/>
      <c r="J99" s="72"/>
      <c r="K99" s="72"/>
      <c r="L99" s="72"/>
      <c r="M99" s="119"/>
    </row>
    <row r="100" spans="2:13" ht="20.25" x14ac:dyDescent="0.25">
      <c r="B100" s="113">
        <v>45474</v>
      </c>
      <c r="C100" s="120">
        <v>5.32</v>
      </c>
      <c r="D100" s="114" t="s">
        <v>143</v>
      </c>
      <c r="E100" s="118"/>
      <c r="F100" s="118"/>
      <c r="G100" s="72"/>
      <c r="H100" s="72"/>
      <c r="I100" s="72"/>
      <c r="J100" s="72"/>
      <c r="K100" s="72"/>
      <c r="L100" s="72"/>
      <c r="M100" s="119"/>
    </row>
    <row r="101" spans="2:13" ht="20.25" x14ac:dyDescent="0.25">
      <c r="B101" s="113">
        <v>45505</v>
      </c>
      <c r="C101" s="120">
        <v>5.33</v>
      </c>
      <c r="D101" s="114" t="s">
        <v>143</v>
      </c>
      <c r="E101" s="118"/>
      <c r="F101" s="118"/>
      <c r="G101" s="72"/>
      <c r="H101" s="72"/>
      <c r="I101" s="72"/>
      <c r="J101" s="72"/>
      <c r="K101" s="72"/>
      <c r="L101" s="72"/>
      <c r="M101" s="119"/>
    </row>
    <row r="102" spans="2:13" ht="20.25" x14ac:dyDescent="0.25">
      <c r="B102" s="113">
        <v>45536</v>
      </c>
      <c r="C102" s="120">
        <v>5.34</v>
      </c>
      <c r="D102" s="114" t="s">
        <v>144</v>
      </c>
      <c r="E102" s="118"/>
      <c r="F102" s="118"/>
      <c r="G102" s="72"/>
      <c r="H102" s="72"/>
      <c r="I102" s="72"/>
      <c r="J102" s="72"/>
      <c r="K102" s="72"/>
      <c r="L102" s="72"/>
      <c r="M102" s="119"/>
    </row>
    <row r="103" spans="2:13" ht="20.25" x14ac:dyDescent="0.25">
      <c r="B103" s="113">
        <v>45536</v>
      </c>
      <c r="C103" s="120">
        <v>5.3410000000000002</v>
      </c>
      <c r="D103" s="114" t="s">
        <v>145</v>
      </c>
      <c r="E103" s="118"/>
      <c r="F103" s="118"/>
      <c r="G103" s="72"/>
      <c r="H103" s="72"/>
      <c r="I103" s="72"/>
      <c r="J103" s="72"/>
      <c r="K103" s="72"/>
      <c r="L103" s="72"/>
      <c r="M103" s="119"/>
    </row>
    <row r="104" spans="2:13" ht="20.25" x14ac:dyDescent="0.25">
      <c r="B104" s="113">
        <v>45566</v>
      </c>
      <c r="C104" s="120">
        <v>5.35</v>
      </c>
      <c r="D104" s="114" t="s">
        <v>146</v>
      </c>
      <c r="E104" s="118"/>
      <c r="F104" s="118"/>
      <c r="G104" s="72"/>
      <c r="H104" s="72"/>
      <c r="I104" s="72"/>
      <c r="J104" s="72"/>
      <c r="K104" s="72"/>
      <c r="L104" s="72"/>
      <c r="M104" s="119"/>
    </row>
    <row r="105" spans="2:13" ht="20.25" x14ac:dyDescent="0.25">
      <c r="B105" s="113">
        <v>45597</v>
      </c>
      <c r="C105" s="120">
        <v>5.36</v>
      </c>
      <c r="D105" s="114" t="s">
        <v>148</v>
      </c>
      <c r="E105" s="118"/>
      <c r="F105" s="118"/>
      <c r="G105" s="72"/>
      <c r="H105" s="72"/>
      <c r="I105" s="72"/>
      <c r="J105" s="72"/>
      <c r="K105" s="72"/>
      <c r="L105" s="72"/>
      <c r="M105" s="119"/>
    </row>
    <row r="106" spans="2:13" ht="20.25" x14ac:dyDescent="0.25">
      <c r="B106" s="113">
        <v>45627</v>
      </c>
      <c r="C106" s="120">
        <v>5.37</v>
      </c>
      <c r="D106" s="114" t="s">
        <v>151</v>
      </c>
      <c r="E106" s="118"/>
      <c r="F106" s="118"/>
      <c r="G106" s="72"/>
      <c r="H106" s="72"/>
      <c r="I106" s="72"/>
      <c r="J106" s="72"/>
      <c r="K106" s="72"/>
      <c r="L106" s="72"/>
      <c r="M106" s="119"/>
    </row>
    <row r="107" spans="2:13" ht="20.25" x14ac:dyDescent="0.25">
      <c r="B107" s="113">
        <v>45658</v>
      </c>
      <c r="C107" s="120">
        <v>5.38</v>
      </c>
      <c r="D107" s="114" t="s">
        <v>153</v>
      </c>
      <c r="E107" s="118"/>
      <c r="F107" s="118"/>
      <c r="G107" s="72"/>
      <c r="H107" s="72"/>
      <c r="I107" s="72"/>
      <c r="J107" s="72"/>
      <c r="K107" s="72"/>
      <c r="L107" s="72"/>
      <c r="M107" s="119"/>
    </row>
    <row r="108" spans="2:13" ht="20.25" x14ac:dyDescent="0.25">
      <c r="B108" s="113">
        <v>45717</v>
      </c>
      <c r="C108" s="120">
        <v>5.39</v>
      </c>
      <c r="D108" s="114" t="s">
        <v>157</v>
      </c>
      <c r="E108" s="118"/>
      <c r="F108" s="118"/>
      <c r="G108" s="72"/>
      <c r="H108" s="72"/>
      <c r="I108" s="72"/>
      <c r="J108" s="72"/>
      <c r="K108" s="72"/>
      <c r="L108" s="72"/>
      <c r="M108" s="119"/>
    </row>
    <row r="109" spans="2:13" ht="20.25" x14ac:dyDescent="0.25">
      <c r="B109" s="113">
        <v>45748</v>
      </c>
      <c r="C109" s="120">
        <v>5.4</v>
      </c>
      <c r="D109" s="114" t="s">
        <v>162</v>
      </c>
      <c r="E109" s="118"/>
      <c r="F109" s="118"/>
      <c r="G109" s="72"/>
      <c r="H109" s="72"/>
      <c r="I109" s="72"/>
      <c r="J109" s="72"/>
      <c r="K109" s="72"/>
      <c r="L109" s="72"/>
      <c r="M109" s="119"/>
    </row>
    <row r="110" spans="2:13" ht="20.25" x14ac:dyDescent="0.25">
      <c r="B110" s="113">
        <v>45778</v>
      </c>
      <c r="C110" s="120">
        <v>5.5</v>
      </c>
      <c r="D110" s="114" t="s">
        <v>163</v>
      </c>
      <c r="E110" s="118"/>
      <c r="F110" s="118"/>
      <c r="G110" s="72"/>
      <c r="H110" s="72"/>
      <c r="I110" s="72"/>
      <c r="J110" s="72"/>
      <c r="K110" s="72"/>
      <c r="L110" s="72"/>
      <c r="M110" s="119"/>
    </row>
    <row r="111" spans="2:13" ht="20.25" x14ac:dyDescent="0.25">
      <c r="B111" s="113">
        <v>45811</v>
      </c>
      <c r="C111" s="120">
        <v>5.6</v>
      </c>
      <c r="D111" s="114" t="s">
        <v>167</v>
      </c>
      <c r="E111" s="118"/>
      <c r="F111" s="118"/>
      <c r="G111" s="72"/>
      <c r="H111" s="72"/>
      <c r="I111" s="72"/>
      <c r="J111" s="72"/>
      <c r="K111" s="72"/>
      <c r="L111" s="72"/>
      <c r="M111" s="119"/>
    </row>
    <row r="112" spans="2:13" ht="20.25" x14ac:dyDescent="0.25">
      <c r="B112" s="113">
        <v>45839</v>
      </c>
      <c r="C112" s="120">
        <v>5.7</v>
      </c>
      <c r="D112" s="114" t="s">
        <v>168</v>
      </c>
      <c r="E112" s="118"/>
      <c r="F112" s="118"/>
      <c r="G112" s="72"/>
      <c r="H112" s="72"/>
      <c r="I112" s="72"/>
      <c r="J112" s="72"/>
      <c r="K112" s="72"/>
      <c r="L112" s="72"/>
      <c r="M112" s="119"/>
    </row>
    <row r="113" spans="2:13" ht="20.25" x14ac:dyDescent="0.25">
      <c r="B113" s="113">
        <v>45870</v>
      </c>
      <c r="C113" s="120">
        <v>5.8</v>
      </c>
      <c r="D113" s="114" t="s">
        <v>169</v>
      </c>
      <c r="E113" s="118"/>
      <c r="F113" s="118"/>
      <c r="G113" s="72"/>
      <c r="H113" s="72"/>
      <c r="I113" s="72"/>
      <c r="J113" s="72"/>
      <c r="K113" s="72"/>
      <c r="L113" s="72"/>
      <c r="M113" s="119"/>
    </row>
    <row r="114" spans="2:13" ht="20.25" x14ac:dyDescent="0.25">
      <c r="B114" s="113">
        <v>45870</v>
      </c>
      <c r="C114" s="120">
        <v>5.81</v>
      </c>
      <c r="D114" s="114" t="s">
        <v>170</v>
      </c>
      <c r="E114" s="118"/>
      <c r="F114" s="118"/>
      <c r="G114" s="72"/>
      <c r="H114" s="72"/>
      <c r="I114" s="72"/>
      <c r="J114" s="72"/>
      <c r="K114" s="72"/>
      <c r="L114" s="72"/>
      <c r="M114" s="119"/>
    </row>
    <row r="115" spans="2:13" ht="20.25" x14ac:dyDescent="0.25">
      <c r="B115" s="113">
        <v>45901</v>
      </c>
      <c r="C115" s="120">
        <v>5.9</v>
      </c>
      <c r="D115" s="114" t="s">
        <v>171</v>
      </c>
      <c r="E115" s="118"/>
      <c r="F115" s="118"/>
      <c r="G115" s="72"/>
      <c r="H115" s="72"/>
      <c r="I115" s="72"/>
      <c r="J115" s="72"/>
      <c r="K115" s="72"/>
      <c r="L115" s="72"/>
      <c r="M115" s="119"/>
    </row>
    <row r="116" spans="2:13" ht="20.25" x14ac:dyDescent="0.25">
      <c r="B116" s="113">
        <v>45931</v>
      </c>
      <c r="C116" s="120">
        <v>5.0999999999999996</v>
      </c>
      <c r="D116" s="114" t="s">
        <v>172</v>
      </c>
      <c r="E116" s="118"/>
      <c r="F116" s="118"/>
      <c r="G116" s="72"/>
      <c r="H116" s="72"/>
      <c r="I116" s="72"/>
      <c r="J116" s="72"/>
      <c r="K116" s="72"/>
      <c r="L116" s="72"/>
      <c r="M116" s="119"/>
    </row>
    <row r="117" spans="2:13" ht="20.25" x14ac:dyDescent="0.25">
      <c r="B117" s="113">
        <v>45931</v>
      </c>
      <c r="C117" s="120">
        <v>5.101</v>
      </c>
      <c r="D117" s="114" t="s">
        <v>174</v>
      </c>
      <c r="E117" s="118"/>
      <c r="F117" s="118"/>
      <c r="G117" s="72"/>
      <c r="H117" s="72"/>
      <c r="I117" s="72"/>
      <c r="J117" s="72"/>
      <c r="K117" s="72"/>
      <c r="L117" s="72"/>
      <c r="M117" s="119"/>
    </row>
    <row r="118" spans="2:13" ht="20.25" x14ac:dyDescent="0.25">
      <c r="B118" s="113">
        <v>45931</v>
      </c>
      <c r="C118" s="120">
        <v>5.1020000000000003</v>
      </c>
      <c r="D118" s="114" t="s">
        <v>175</v>
      </c>
      <c r="E118" s="118"/>
      <c r="F118" s="118"/>
      <c r="G118" s="72"/>
      <c r="H118" s="72"/>
      <c r="I118" s="72"/>
      <c r="J118" s="72"/>
      <c r="K118" s="72"/>
      <c r="L118" s="72"/>
      <c r="M118" s="119"/>
    </row>
    <row r="119" spans="2:13" ht="20.25" x14ac:dyDescent="0.25">
      <c r="B119" s="113">
        <v>45962</v>
      </c>
      <c r="C119" s="120">
        <v>5.1100000000000003</v>
      </c>
      <c r="D119" s="114" t="s">
        <v>177</v>
      </c>
      <c r="E119" s="118"/>
      <c r="F119" s="118"/>
      <c r="G119" s="72"/>
      <c r="H119" s="72"/>
      <c r="I119" s="72"/>
      <c r="J119" s="72"/>
      <c r="K119" s="72"/>
      <c r="L119" s="72"/>
      <c r="M119" s="119"/>
    </row>
    <row r="120" spans="2:13" ht="20.25" x14ac:dyDescent="0.25">
      <c r="B120" s="113">
        <v>45992</v>
      </c>
      <c r="C120" s="120">
        <v>5.12</v>
      </c>
      <c r="D120" s="114" t="s">
        <v>180</v>
      </c>
      <c r="E120" s="118"/>
      <c r="F120" s="118"/>
      <c r="G120" s="72"/>
      <c r="H120" s="72"/>
      <c r="I120" s="72"/>
      <c r="J120" s="72"/>
      <c r="K120" s="72"/>
      <c r="L120" s="72"/>
      <c r="M120" s="119"/>
    </row>
    <row r="121" spans="2:13" ht="20.25" x14ac:dyDescent="0.25">
      <c r="B121" s="113">
        <v>46023</v>
      </c>
      <c r="C121" s="120">
        <v>26.01</v>
      </c>
      <c r="D121" s="114" t="s">
        <v>182</v>
      </c>
      <c r="E121" s="118"/>
      <c r="F121" s="118"/>
      <c r="G121" s="72"/>
      <c r="H121" s="72"/>
      <c r="I121" s="72"/>
      <c r="J121" s="72"/>
      <c r="K121" s="72"/>
      <c r="L121" s="72"/>
      <c r="M121" s="119"/>
    </row>
    <row r="122" spans="2:13" ht="20.25" x14ac:dyDescent="0.25">
      <c r="B122" s="113">
        <v>46054</v>
      </c>
      <c r="C122" s="120">
        <v>26.02</v>
      </c>
      <c r="D122" s="114" t="s">
        <v>183</v>
      </c>
      <c r="E122" s="118"/>
      <c r="F122" s="118"/>
      <c r="G122" s="72"/>
      <c r="H122" s="72"/>
      <c r="I122" s="72"/>
      <c r="J122" s="72"/>
      <c r="K122" s="72"/>
      <c r="L122" s="72"/>
      <c r="M122" s="119"/>
    </row>
    <row r="123" spans="2:13" ht="20.25" x14ac:dyDescent="0.25">
      <c r="B123" s="113">
        <v>46058</v>
      </c>
      <c r="C123" s="166">
        <v>26.021000000000001</v>
      </c>
      <c r="D123" s="114" t="s">
        <v>185</v>
      </c>
      <c r="E123" s="118"/>
      <c r="F123" s="118"/>
      <c r="G123" s="72"/>
      <c r="H123" s="72"/>
      <c r="I123" s="72"/>
      <c r="J123" s="72"/>
      <c r="K123" s="72"/>
      <c r="L123" s="72"/>
      <c r="M123" s="119"/>
    </row>
    <row r="124" spans="2:13" ht="20.25" x14ac:dyDescent="0.25">
      <c r="B124" s="113">
        <v>46082</v>
      </c>
      <c r="C124" s="120">
        <v>26.03</v>
      </c>
      <c r="D124" s="114" t="s">
        <v>186</v>
      </c>
      <c r="E124" s="118"/>
      <c r="F124" s="118"/>
      <c r="G124" s="72"/>
      <c r="H124" s="72"/>
      <c r="I124" s="72"/>
      <c r="J124" s="72"/>
      <c r="K124" s="72"/>
      <c r="L124" s="72"/>
      <c r="M124" s="119"/>
    </row>
    <row r="125" spans="2:13" ht="20.25" x14ac:dyDescent="0.25">
      <c r="B125" s="113">
        <v>46082</v>
      </c>
      <c r="C125" s="166">
        <v>26.030999999999999</v>
      </c>
      <c r="D125" s="114" t="s">
        <v>187</v>
      </c>
      <c r="E125" s="118"/>
      <c r="F125" s="118"/>
      <c r="G125" s="72"/>
      <c r="H125" s="72"/>
      <c r="I125" s="72"/>
      <c r="J125" s="72"/>
      <c r="K125" s="72"/>
      <c r="L125" s="72"/>
      <c r="M125" s="119"/>
    </row>
    <row r="126" spans="2:13" ht="20.25" x14ac:dyDescent="0.25">
      <c r="B126" s="113">
        <v>46113</v>
      </c>
      <c r="C126" s="120">
        <v>26.04</v>
      </c>
      <c r="D126" s="114" t="s">
        <v>197</v>
      </c>
      <c r="E126" s="118"/>
      <c r="F126" s="118"/>
      <c r="G126" s="72"/>
      <c r="H126" s="72"/>
      <c r="I126" s="72"/>
      <c r="J126" s="72"/>
      <c r="K126" s="72"/>
      <c r="L126" s="72"/>
      <c r="M126" s="119"/>
    </row>
    <row r="127" spans="2:13" ht="20.25" x14ac:dyDescent="0.25">
      <c r="B127" s="113">
        <v>46113</v>
      </c>
      <c r="C127" s="166">
        <v>26.041</v>
      </c>
      <c r="D127" s="114" t="s">
        <v>187</v>
      </c>
      <c r="E127" s="118"/>
      <c r="F127" s="118"/>
      <c r="G127" s="72"/>
      <c r="H127" s="72"/>
      <c r="I127" s="72"/>
      <c r="J127" s="72"/>
      <c r="K127" s="72"/>
      <c r="L127" s="72"/>
      <c r="M127" s="119"/>
    </row>
    <row r="128" spans="2:13" ht="20.25" x14ac:dyDescent="0.25">
      <c r="B128" s="113">
        <v>46143</v>
      </c>
      <c r="C128" s="171">
        <v>26.05</v>
      </c>
      <c r="D128" s="114" t="s">
        <v>199</v>
      </c>
      <c r="E128" s="118"/>
      <c r="F128" s="118"/>
      <c r="G128" s="72"/>
      <c r="H128" s="72"/>
      <c r="I128" s="72"/>
      <c r="J128" s="72"/>
      <c r="K128" s="72"/>
      <c r="L128" s="72"/>
      <c r="M128" s="119"/>
    </row>
    <row r="129" spans="2:13" ht="20.25" x14ac:dyDescent="0.25">
      <c r="B129" s="113">
        <v>46174</v>
      </c>
      <c r="C129" s="171">
        <v>26.06</v>
      </c>
      <c r="D129" s="114" t="s">
        <v>202</v>
      </c>
      <c r="E129" s="118"/>
      <c r="F129" s="118"/>
      <c r="G129" s="72"/>
      <c r="H129" s="72"/>
      <c r="I129" s="72"/>
      <c r="J129" s="72"/>
      <c r="K129" s="72"/>
      <c r="L129" s="72"/>
      <c r="M129" s="119"/>
    </row>
    <row r="130" spans="2:13" ht="20.25" x14ac:dyDescent="0.25">
      <c r="B130" s="113">
        <v>46174</v>
      </c>
      <c r="C130" s="166">
        <v>26.061</v>
      </c>
      <c r="D130" s="114" t="s">
        <v>205</v>
      </c>
      <c r="E130" s="118"/>
      <c r="F130" s="118"/>
      <c r="G130" s="72"/>
      <c r="H130" s="72"/>
      <c r="I130" s="72"/>
      <c r="J130" s="72"/>
      <c r="K130" s="72"/>
      <c r="L130" s="72"/>
      <c r="M130" s="119"/>
    </row>
    <row r="131" spans="2:13" ht="20.25" x14ac:dyDescent="0.25">
      <c r="B131" s="113">
        <v>46174</v>
      </c>
      <c r="C131" s="166">
        <v>26.062000000000001</v>
      </c>
      <c r="D131" s="114" t="s">
        <v>206</v>
      </c>
      <c r="E131" s="118"/>
      <c r="F131" s="118"/>
      <c r="G131" s="72"/>
      <c r="H131" s="72"/>
      <c r="I131" s="72"/>
      <c r="J131" s="72"/>
      <c r="K131" s="72"/>
      <c r="L131" s="72"/>
      <c r="M131" s="119"/>
    </row>
    <row r="132" spans="2:13" ht="20.25" x14ac:dyDescent="0.25">
      <c r="B132" s="113">
        <v>46204</v>
      </c>
      <c r="C132" s="171">
        <v>26.07</v>
      </c>
      <c r="D132" s="114" t="s">
        <v>3778</v>
      </c>
    </row>
    <row r="133" spans="2:13" ht="20.25" x14ac:dyDescent="0.25">
      <c r="B133" s="113">
        <v>46204</v>
      </c>
      <c r="C133" s="166">
        <v>26.071000000000002</v>
      </c>
      <c r="D133" s="114" t="s">
        <v>3779</v>
      </c>
      <c r="E133" s="118"/>
      <c r="F133" s="118"/>
      <c r="G133" s="72"/>
      <c r="H133" s="72"/>
      <c r="I133" s="72"/>
      <c r="J133" s="72"/>
      <c r="K133" s="72"/>
      <c r="L133" s="72"/>
      <c r="M133" s="119"/>
    </row>
    <row r="134" spans="2:13" ht="20.25" x14ac:dyDescent="0.25">
      <c r="B134" s="113">
        <v>46235</v>
      </c>
      <c r="C134" s="166">
        <v>26.08</v>
      </c>
      <c r="D134" s="114" t="s">
        <v>3780</v>
      </c>
      <c r="E134" s="118"/>
      <c r="F134" s="118"/>
      <c r="G134" s="72"/>
      <c r="H134" s="72"/>
      <c r="I134" s="72"/>
      <c r="J134" s="72"/>
      <c r="K134" s="72"/>
      <c r="L134" s="72"/>
      <c r="M134" s="119"/>
    </row>
    <row r="135" spans="2:13" ht="20.25" x14ac:dyDescent="0.25">
      <c r="B135" s="113">
        <v>46235</v>
      </c>
      <c r="C135" s="166">
        <v>26.081</v>
      </c>
      <c r="D135" s="114" t="s">
        <v>3779</v>
      </c>
    </row>
    <row r="136" spans="2:13" ht="20.25" x14ac:dyDescent="0.25">
      <c r="B136" s="113">
        <v>46266</v>
      </c>
      <c r="C136" s="166">
        <v>26.09</v>
      </c>
      <c r="D136" s="114" t="s">
        <v>3789</v>
      </c>
    </row>
  </sheetData>
  <sortState xmlns:xlrd2="http://schemas.microsoft.com/office/spreadsheetml/2017/richdata2" ref="B17:L20">
    <sortCondition ref="I17:I20"/>
  </sortState>
  <phoneticPr fontId="53" type="noConversion"/>
  <printOptions horizontalCentered="1"/>
  <pageMargins left="0.31496062992125984" right="0.27559055118110237" top="1.1417322834645669" bottom="0.6692913385826772" header="0.31496062992125984" footer="0.51181102362204722"/>
  <pageSetup paperSize="9" scale="23" orientation="portrait" r:id="rId1"/>
  <headerFooter alignWithMargins="0">
    <oddHeader>&amp;L&amp;G&amp;C&amp;"Arial,Negrita"&amp;20Lista de Precios
Servicio SPRINT INTERNET</oddHeader>
    <oddFooter>&amp;L&amp;"Arial,Negrita"Sista s.a.&amp;CAv. Almirante Brown N° 3064 e/ 54 bis y 56 – Punta Lara, Pdo de Ensenada (B1931AAA) Pcia de Buenos Aires&amp;RTel 0221-466-2200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42"/>
  <sheetViews>
    <sheetView showGridLines="0" topLeftCell="A19" zoomScaleNormal="100" workbookViewId="0">
      <selection activeCell="D34" sqref="A5:D34"/>
    </sheetView>
  </sheetViews>
  <sheetFormatPr baseColWidth="10" defaultColWidth="11.5703125" defaultRowHeight="12.75" x14ac:dyDescent="0.25"/>
  <cols>
    <col min="1" max="1" width="2.85546875" style="15" customWidth="1"/>
    <col min="2" max="2" width="77.5703125" style="15" customWidth="1"/>
    <col min="3" max="3" width="9.7109375" style="194" customWidth="1"/>
    <col min="4" max="4" width="13.85546875" style="15" customWidth="1"/>
    <col min="5" max="5" width="4.42578125" style="15" customWidth="1"/>
    <col min="6" max="16384" width="11.5703125" style="15"/>
  </cols>
  <sheetData>
    <row r="1" spans="2:6" s="73" customFormat="1" ht="40.35" customHeight="1" x14ac:dyDescent="0.25">
      <c r="B1" s="73" t="s">
        <v>3786</v>
      </c>
      <c r="C1" s="192"/>
    </row>
    <row r="2" spans="2:6" s="73" customFormat="1" ht="6.6" customHeight="1" x14ac:dyDescent="0.25">
      <c r="C2" s="192"/>
    </row>
    <row r="3" spans="2:6" s="73" customFormat="1" ht="6.6" customHeight="1" x14ac:dyDescent="0.25">
      <c r="C3" s="192"/>
    </row>
    <row r="4" spans="2:6" s="73" customFormat="1" ht="6.6" customHeight="1" x14ac:dyDescent="0.25">
      <c r="C4" s="192"/>
    </row>
    <row r="5" spans="2:6" ht="36" x14ac:dyDescent="0.25">
      <c r="B5" s="200">
        <f>+'Tarifario completo'!L2</f>
        <v>46266</v>
      </c>
      <c r="C5" s="197" t="s">
        <v>3785</v>
      </c>
      <c r="D5" s="198" t="s">
        <v>14</v>
      </c>
    </row>
    <row r="6" spans="2:6" ht="18" x14ac:dyDescent="0.25">
      <c r="B6" s="201" t="str">
        <f>+'Tarifario completo'!B6</f>
        <v>HOME F111</v>
      </c>
      <c r="C6" s="196">
        <f>+D6/(1+$D$42)</f>
        <v>21244.350262479686</v>
      </c>
      <c r="D6" s="199">
        <f>+'Tarifario completo'!L6</f>
        <v>25705.66381760042</v>
      </c>
      <c r="F6" s="191"/>
    </row>
    <row r="7" spans="2:6" ht="18" x14ac:dyDescent="0.25">
      <c r="B7" s="201" t="str">
        <f>+'Tarifario completo'!B7</f>
        <v>FAST F121</v>
      </c>
      <c r="C7" s="196">
        <f t="shared" ref="C7:C33" si="0">+D7/(1+$D$42)</f>
        <v>26206.839907784906</v>
      </c>
      <c r="D7" s="199">
        <f>+'Tarifario completo'!L7</f>
        <v>31710.276288419736</v>
      </c>
    </row>
    <row r="8" spans="2:6" ht="18" x14ac:dyDescent="0.25">
      <c r="B8" s="201" t="str">
        <f>+'Tarifario completo'!B8</f>
        <v>POWER F131</v>
      </c>
      <c r="C8" s="196">
        <f t="shared" si="0"/>
        <v>27175.011445705946</v>
      </c>
      <c r="D8" s="199">
        <f>+'Tarifario completo'!L8</f>
        <v>32881.763849304196</v>
      </c>
    </row>
    <row r="9" spans="2:6" ht="18" x14ac:dyDescent="0.25">
      <c r="B9" s="201" t="str">
        <f>+'Tarifario completo'!B9</f>
        <v>GAMER F141</v>
      </c>
      <c r="C9" s="196">
        <f t="shared" si="0"/>
        <v>35423.372921159993</v>
      </c>
      <c r="D9" s="199">
        <f>+'Tarifario completo'!L9</f>
        <v>42862.281234603586</v>
      </c>
    </row>
    <row r="10" spans="2:6" ht="18" x14ac:dyDescent="0.25">
      <c r="B10" s="201" t="str">
        <f>+'Tarifario completo'!B10</f>
        <v>WORKER F151</v>
      </c>
      <c r="C10" s="196">
        <f t="shared" si="0"/>
        <v>38645.143991752091</v>
      </c>
      <c r="D10" s="199">
        <f>+'Tarifario completo'!L10</f>
        <v>46760.624230020032</v>
      </c>
    </row>
    <row r="11" spans="2:6" ht="18" x14ac:dyDescent="0.25">
      <c r="B11" s="201" t="str">
        <f>+'Tarifario completo'!B11</f>
        <v>MAX F161   (NUEVO)</v>
      </c>
      <c r="C11" s="196">
        <f t="shared" si="0"/>
        <v>46146.565530036001</v>
      </c>
      <c r="D11" s="199">
        <f>+'Tarifario completo'!L11</f>
        <v>55837.344291343557</v>
      </c>
    </row>
    <row r="12" spans="2:6" ht="18" x14ac:dyDescent="0.25">
      <c r="B12" s="201" t="str">
        <f>+'Tarifario completo'!B12</f>
        <v>SistaFLEX (domicilio adicional)</v>
      </c>
      <c r="C12" s="196">
        <f t="shared" si="0"/>
        <v>11982.512396694214</v>
      </c>
      <c r="D12" s="199">
        <f>+'Tarifario completo'!L12</f>
        <v>14498.839999999998</v>
      </c>
    </row>
    <row r="13" spans="2:6" ht="18" x14ac:dyDescent="0.25">
      <c r="B13" s="201" t="str">
        <f>+'Tarifario completo'!B13</f>
        <v>ANTINA PLAY +</v>
      </c>
      <c r="C13" s="196">
        <f t="shared" si="0"/>
        <v>16438.016528925622</v>
      </c>
      <c r="D13" s="199">
        <f>+'Tarifario completo'!L13</f>
        <v>19890</v>
      </c>
    </row>
    <row r="14" spans="2:6" ht="18" x14ac:dyDescent="0.25">
      <c r="B14" s="201" t="str">
        <f>+'Tarifario completo'!B14</f>
        <v xml:space="preserve">   Básico + Cine</v>
      </c>
      <c r="C14" s="196">
        <f t="shared" si="0"/>
        <v>37975.206611570247</v>
      </c>
      <c r="D14" s="199">
        <f>+'Tarifario completo'!L14</f>
        <v>45950</v>
      </c>
    </row>
    <row r="15" spans="2:6" ht="18" x14ac:dyDescent="0.25">
      <c r="B15" s="201" t="str">
        <f>+'Tarifario completo'!B15</f>
        <v xml:space="preserve">   Pack Fútbol (Antina)</v>
      </c>
      <c r="C15" s="196">
        <f t="shared" si="0"/>
        <v>24380.165289256198</v>
      </c>
      <c r="D15" s="199">
        <f>+'Tarifario completo'!L15</f>
        <v>29500</v>
      </c>
    </row>
    <row r="16" spans="2:6" ht="18" x14ac:dyDescent="0.25">
      <c r="B16" s="201" t="str">
        <f>+'Tarifario completo'!B16</f>
        <v>DGO Full</v>
      </c>
      <c r="C16" s="196">
        <f t="shared" si="0"/>
        <v>28966.942148760332</v>
      </c>
      <c r="D16" s="199">
        <f>+'Tarifario completo'!L16</f>
        <v>35050</v>
      </c>
    </row>
    <row r="17" spans="2:4" ht="18" x14ac:dyDescent="0.25">
      <c r="B17" s="201" t="str">
        <f>+'Tarifario completo'!B17</f>
        <v xml:space="preserve">   DGo Fútbol total (Full + Dsports + Amazon + Fútbol) NUEVO</v>
      </c>
      <c r="C17" s="196">
        <f t="shared" si="0"/>
        <v>32479.338842975209</v>
      </c>
      <c r="D17" s="199">
        <f>+'Tarifario completo'!L17</f>
        <v>39300</v>
      </c>
    </row>
    <row r="18" spans="2:4" ht="18" x14ac:dyDescent="0.25">
      <c r="B18" s="201" t="str">
        <f>+'Tarifario completo'!B18</f>
        <v xml:space="preserve">   Pack Fútbol (DGo)</v>
      </c>
      <c r="C18" s="196">
        <f t="shared" si="0"/>
        <v>21165.289256198346</v>
      </c>
      <c r="D18" s="199">
        <f>+'Tarifario completo'!L18</f>
        <v>25610</v>
      </c>
    </row>
    <row r="19" spans="2:4" ht="18" x14ac:dyDescent="0.25">
      <c r="B19" s="201" t="str">
        <f>+'Tarifario completo'!B19</f>
        <v xml:space="preserve">   PARAMOUNT + (Dgo)</v>
      </c>
      <c r="C19" s="196">
        <f t="shared" si="0"/>
        <v>7549.5867768595044</v>
      </c>
      <c r="D19" s="199">
        <f>+'Tarifario completo'!L19</f>
        <v>9135</v>
      </c>
    </row>
    <row r="20" spans="2:4" ht="18" x14ac:dyDescent="0.25">
      <c r="B20" s="201" t="str">
        <f>+'Tarifario completo'!B20</f>
        <v xml:space="preserve">   UNIVERSAL (DGo)</v>
      </c>
      <c r="C20" s="196">
        <f t="shared" si="0"/>
        <v>12495.867768595042</v>
      </c>
      <c r="D20" s="199">
        <f>+'Tarifario completo'!L20</f>
        <v>15120</v>
      </c>
    </row>
    <row r="21" spans="2:4" ht="18" x14ac:dyDescent="0.25">
      <c r="B21" s="201" t="str">
        <f>+'Tarifario completo'!B21</f>
        <v>GIGARED Básico</v>
      </c>
      <c r="C21" s="196">
        <f t="shared" si="0"/>
        <v>10826.446280991735</v>
      </c>
      <c r="D21" s="199">
        <f>+'Tarifario completo'!L21</f>
        <v>13100</v>
      </c>
    </row>
    <row r="22" spans="2:4" ht="18" x14ac:dyDescent="0.25">
      <c r="B22" s="201" t="str">
        <f>+'Tarifario completo'!B22</f>
        <v xml:space="preserve">   Pack Fútbol (Gigared)</v>
      </c>
      <c r="C22" s="196">
        <f t="shared" si="0"/>
        <v>21165.289256198346</v>
      </c>
      <c r="D22" s="199">
        <f>+'Tarifario completo'!L22</f>
        <v>25610</v>
      </c>
    </row>
    <row r="23" spans="2:4" ht="18" x14ac:dyDescent="0.25">
      <c r="B23" s="201" t="str">
        <f>+'Tarifario completo'!B23</f>
        <v>LINEA VIP 55-011</v>
      </c>
      <c r="C23" s="196">
        <f t="shared" si="0"/>
        <v>17728.413636894245</v>
      </c>
      <c r="D23" s="199">
        <f>+'Tarifario completo'!L23</f>
        <v>21451.380500642037</v>
      </c>
    </row>
    <row r="24" spans="2:4" ht="18" x14ac:dyDescent="0.25">
      <c r="B24" s="201" t="str">
        <f>+'Tarifario completo'!B24</f>
        <v>LINEA VIP 56-221</v>
      </c>
      <c r="C24" s="196">
        <f t="shared" si="0"/>
        <v>8414.0554297669441</v>
      </c>
      <c r="D24" s="199">
        <f>+'Tarifario completo'!L24</f>
        <v>10181.007070018002</v>
      </c>
    </row>
    <row r="25" spans="2:4" ht="18" x14ac:dyDescent="0.25">
      <c r="B25" s="201" t="str">
        <f>+'Tarifario completo'!B25</f>
        <v>PABXIP VIRTUAL.BASICA (****)</v>
      </c>
      <c r="C25" s="196">
        <f t="shared" si="0"/>
        <v>31969.704111484607</v>
      </c>
      <c r="D25" s="199">
        <f>+'Tarifario completo'!L25</f>
        <v>38683.341974896372</v>
      </c>
    </row>
    <row r="26" spans="2:4" ht="18" x14ac:dyDescent="0.25">
      <c r="B26" s="201" t="str">
        <f>+'Tarifario completo'!B26</f>
        <v>Línea Adicional a PABXIP</v>
      </c>
      <c r="C26" s="196">
        <f t="shared" si="0"/>
        <v>6393.9408222969214</v>
      </c>
      <c r="D26" s="199">
        <f>+'Tarifario completo'!L26</f>
        <v>7736.6683949792741</v>
      </c>
    </row>
    <row r="27" spans="2:4" ht="18" x14ac:dyDescent="0.25">
      <c r="B27" s="201" t="str">
        <f>+'Tarifario completo'!B27</f>
        <v>Internos adicionales a PABXIP</v>
      </c>
      <c r="C27" s="196">
        <f t="shared" si="0"/>
        <v>3196.9704111484607</v>
      </c>
      <c r="D27" s="199">
        <f>+'Tarifario completo'!L27</f>
        <v>3868.3341974896371</v>
      </c>
    </row>
    <row r="28" spans="2:4" ht="18" x14ac:dyDescent="0.25">
      <c r="B28" s="201" t="str">
        <f>+'Tarifario completo'!B28</f>
        <v>SPRINT Banda 74</v>
      </c>
      <c r="C28" s="196">
        <f t="shared" si="0"/>
        <v>37912.89011370144</v>
      </c>
      <c r="D28" s="199">
        <f>+'Tarifario completo'!L28</f>
        <v>45874.597037578744</v>
      </c>
    </row>
    <row r="29" spans="2:4" s="57" customFormat="1" ht="18" x14ac:dyDescent="0.25">
      <c r="B29" s="201" t="str">
        <f>+'Tarifario completo'!B29</f>
        <v>SPRINT Banda 77 (*)</v>
      </c>
      <c r="C29" s="196">
        <f t="shared" si="0"/>
        <v>42711.728588784506</v>
      </c>
      <c r="D29" s="199">
        <f>+'Tarifario completo'!L29</f>
        <v>51681.191592429248</v>
      </c>
    </row>
    <row r="30" spans="2:4" s="57" customFormat="1" ht="18" x14ac:dyDescent="0.25">
      <c r="B30" s="201" t="str">
        <f>+'Tarifario completo'!B31</f>
        <v>SPRINT Banda F101</v>
      </c>
      <c r="C30" s="196">
        <f t="shared" si="0"/>
        <v>44705.001312195469</v>
      </c>
      <c r="D30" s="199">
        <f>+'Tarifario completo'!L31</f>
        <v>54093.051587756519</v>
      </c>
    </row>
    <row r="31" spans="2:4" s="57" customFormat="1" ht="18" x14ac:dyDescent="0.25">
      <c r="B31" s="201" t="str">
        <f>+'Tarifario completo'!B32</f>
        <v>SPRINT Banda F103</v>
      </c>
      <c r="C31" s="196">
        <f t="shared" si="0"/>
        <v>85239.40453500759</v>
      </c>
      <c r="D31" s="199">
        <f>+'Tarifario completo'!L32</f>
        <v>103139.67948735919</v>
      </c>
    </row>
    <row r="32" spans="2:4" s="57" customFormat="1" ht="18" x14ac:dyDescent="0.25">
      <c r="B32" s="201" t="str">
        <f>+'Tarifario completo'!B33</f>
        <v>SPRINT Banda F104</v>
      </c>
      <c r="C32" s="196">
        <f t="shared" si="0"/>
        <v>95247.442130136973</v>
      </c>
      <c r="D32" s="199">
        <f>+'Tarifario completo'!L33</f>
        <v>115249.40497746573</v>
      </c>
    </row>
    <row r="33" spans="2:5" s="57" customFormat="1" ht="18" x14ac:dyDescent="0.25">
      <c r="B33" s="201" t="str">
        <f>+'Tarifario completo'!B35</f>
        <v>SPRINT Banda 94</v>
      </c>
      <c r="C33" s="196">
        <f t="shared" si="0"/>
        <v>49778.103934473766</v>
      </c>
      <c r="D33" s="199">
        <f>+'Tarifario completo'!L35</f>
        <v>60231.505760713255</v>
      </c>
    </row>
    <row r="34" spans="2:5" s="56" customFormat="1" ht="14.25" x14ac:dyDescent="0.25">
      <c r="B34" s="58"/>
      <c r="C34" s="193"/>
      <c r="D34" s="65">
        <f>+'Tarifario completo'!F2</f>
        <v>26.09</v>
      </c>
    </row>
    <row r="35" spans="2:5" ht="15" x14ac:dyDescent="0.25">
      <c r="B35" s="37"/>
      <c r="D35" s="38"/>
      <c r="E35" s="38"/>
    </row>
    <row r="36" spans="2:5" ht="46.35" customHeight="1" x14ac:dyDescent="0.25">
      <c r="B36" s="204" t="s">
        <v>198</v>
      </c>
      <c r="C36" s="204"/>
      <c r="D36" s="204"/>
    </row>
    <row r="38" spans="2:5" s="164" customFormat="1" ht="30" customHeight="1" x14ac:dyDescent="0.25">
      <c r="B38" s="205" t="s">
        <v>184</v>
      </c>
      <c r="C38" s="205"/>
      <c r="D38" s="205"/>
    </row>
    <row r="40" spans="2:5" x14ac:dyDescent="0.25">
      <c r="C40" s="194" t="s">
        <v>3782</v>
      </c>
      <c r="D40" s="188">
        <v>0.21</v>
      </c>
    </row>
    <row r="41" spans="2:5" x14ac:dyDescent="0.25">
      <c r="C41" s="194" t="s">
        <v>3783</v>
      </c>
      <c r="D41" s="188">
        <v>0</v>
      </c>
    </row>
    <row r="42" spans="2:5" x14ac:dyDescent="0.25">
      <c r="B42" s="189"/>
      <c r="C42" s="195" t="s">
        <v>3784</v>
      </c>
      <c r="D42" s="190">
        <f>SUM(D40:D41)</f>
        <v>0.21</v>
      </c>
    </row>
  </sheetData>
  <mergeCells count="2">
    <mergeCell ref="B36:D36"/>
    <mergeCell ref="B38:D38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I44"/>
  <sheetViews>
    <sheetView showGridLines="0" showZeros="0" tabSelected="1" zoomScale="55" zoomScaleNormal="55" workbookViewId="0">
      <selection activeCell="F4" sqref="F4:G4"/>
    </sheetView>
  </sheetViews>
  <sheetFormatPr baseColWidth="10" defaultColWidth="14" defaultRowHeight="15" x14ac:dyDescent="0.25"/>
  <cols>
    <col min="1" max="1" width="6.42578125" style="1" customWidth="1"/>
    <col min="2" max="2" width="115.5703125" style="1" customWidth="1"/>
    <col min="3" max="3" width="10.42578125" style="1" bestFit="1" customWidth="1"/>
    <col min="4" max="4" width="10.42578125" style="1" customWidth="1"/>
    <col min="5" max="5" width="13.85546875" style="1" bestFit="1" customWidth="1"/>
    <col min="6" max="6" width="21.42578125" style="1" customWidth="1"/>
    <col min="7" max="7" width="25.5703125" style="1" customWidth="1"/>
    <col min="8" max="8" width="21.42578125" style="1" customWidth="1"/>
    <col min="9" max="9" width="25.5703125" style="1" customWidth="1"/>
    <col min="10" max="16384" width="14" style="1"/>
  </cols>
  <sheetData>
    <row r="2" spans="2:9" s="46" customFormat="1" ht="46.35" customHeight="1" thickBot="1" x14ac:dyDescent="0.3">
      <c r="B2" s="154">
        <f>+'Tarifario completo'!F2</f>
        <v>26.09</v>
      </c>
      <c r="H2" s="74" t="s">
        <v>33</v>
      </c>
      <c r="I2" s="75">
        <f>+'Tarifario completo'!L2</f>
        <v>46266</v>
      </c>
    </row>
    <row r="3" spans="2:9" s="12" customFormat="1" ht="86.1" customHeight="1" thickBot="1" x14ac:dyDescent="0.3">
      <c r="B3" s="208" t="s">
        <v>61</v>
      </c>
      <c r="C3" s="209"/>
      <c r="D3" s="209"/>
      <c r="E3" s="210"/>
      <c r="F3" s="211" t="s">
        <v>62</v>
      </c>
      <c r="G3" s="210"/>
      <c r="H3" s="206" t="s">
        <v>91</v>
      </c>
      <c r="I3" s="207"/>
    </row>
    <row r="4" spans="2:9" s="13" customFormat="1" ht="55.5" customHeight="1" thickBot="1" x14ac:dyDescent="0.3">
      <c r="B4" s="76" t="s">
        <v>0</v>
      </c>
      <c r="C4" s="212" t="s">
        <v>35</v>
      </c>
      <c r="D4" s="212"/>
      <c r="E4" s="100" t="s">
        <v>104</v>
      </c>
      <c r="F4" s="202" t="s">
        <v>3787</v>
      </c>
      <c r="G4" s="77" t="s">
        <v>3788</v>
      </c>
      <c r="H4" s="202" t="s">
        <v>3787</v>
      </c>
      <c r="I4" s="77" t="s">
        <v>3788</v>
      </c>
    </row>
    <row r="5" spans="2:9" s="12" customFormat="1" ht="27" customHeight="1" x14ac:dyDescent="0.25">
      <c r="B5" s="122" t="str">
        <f>+'Tarifario completo'!B5</f>
        <v>MUNDIAL F99 (EDICIÓN LIMITADA) SÓLO LO INFORMA VENTAS</v>
      </c>
      <c r="C5" s="123" t="str">
        <f>+'Tarifario completo'!C5</f>
        <v>S</v>
      </c>
      <c r="D5" s="124" t="str">
        <f>+'Tarifario completo'!E5</f>
        <v>F</v>
      </c>
      <c r="E5" s="125" t="str">
        <f>+'Tarifario completo'!F5</f>
        <v>50</v>
      </c>
      <c r="F5" s="126">
        <f t="shared" ref="F5:H8" si="0">+G5/1.21</f>
        <v>16528.92561983471</v>
      </c>
      <c r="G5" s="127">
        <f>+'Tarifario completo'!I5</f>
        <v>20000</v>
      </c>
      <c r="H5" s="126">
        <f t="shared" si="0"/>
        <v>21244.282749526763</v>
      </c>
      <c r="I5" s="128">
        <f>+'Tarifario completo'!L5</f>
        <v>25705.582126927384</v>
      </c>
    </row>
    <row r="6" spans="2:9" s="12" customFormat="1" ht="27" customHeight="1" x14ac:dyDescent="0.25">
      <c r="B6" s="11" t="str">
        <f>+'Tarifario completo'!B6</f>
        <v>HOME F111</v>
      </c>
      <c r="C6" s="39" t="str">
        <f>+'Tarifario completo'!C6</f>
        <v>A</v>
      </c>
      <c r="D6" s="78" t="str">
        <f>+'Tarifario completo'!E6</f>
        <v>F</v>
      </c>
      <c r="E6" s="97" t="str">
        <f>+'Tarifario completo'!F6</f>
        <v>75 / 10</v>
      </c>
      <c r="F6" s="93">
        <f t="shared" si="0"/>
        <v>16528.92561983471</v>
      </c>
      <c r="G6" s="79">
        <f>+'Tarifario completo'!I6</f>
        <v>20000</v>
      </c>
      <c r="H6" s="93">
        <f t="shared" si="0"/>
        <v>21244.350262479686</v>
      </c>
      <c r="I6" s="94">
        <f>+'Tarifario completo'!L6</f>
        <v>25705.66381760042</v>
      </c>
    </row>
    <row r="7" spans="2:9" s="12" customFormat="1" ht="27" customHeight="1" x14ac:dyDescent="0.25">
      <c r="B7" s="11" t="str">
        <f>+'Tarifario completo'!B7</f>
        <v>FAST F121</v>
      </c>
      <c r="C7" s="39" t="str">
        <f>+'Tarifario completo'!C7</f>
        <v>A</v>
      </c>
      <c r="D7" s="78" t="str">
        <f>+'Tarifario completo'!E7</f>
        <v>F</v>
      </c>
      <c r="E7" s="97" t="str">
        <f>+'Tarifario completo'!F7</f>
        <v>150 / 15</v>
      </c>
      <c r="F7" s="93">
        <f t="shared" si="0"/>
        <v>16528.92561983471</v>
      </c>
      <c r="G7" s="79">
        <f>+'Tarifario completo'!I7</f>
        <v>20000</v>
      </c>
      <c r="H7" s="93">
        <f t="shared" si="0"/>
        <v>26206.839907784906</v>
      </c>
      <c r="I7" s="94">
        <f>+'Tarifario completo'!L7</f>
        <v>31710.276288419736</v>
      </c>
    </row>
    <row r="8" spans="2:9" s="12" customFormat="1" ht="27" customHeight="1" x14ac:dyDescent="0.25">
      <c r="B8" s="11" t="str">
        <f>+'Tarifario completo'!B8</f>
        <v>POWER F131</v>
      </c>
      <c r="C8" s="39" t="str">
        <f>+'Tarifario completo'!C8</f>
        <v>A</v>
      </c>
      <c r="D8" s="78" t="str">
        <f>+'Tarifario completo'!E8</f>
        <v>F</v>
      </c>
      <c r="E8" s="97" t="str">
        <f>+'Tarifario completo'!F8</f>
        <v>300 / 30</v>
      </c>
      <c r="F8" s="93">
        <f t="shared" si="0"/>
        <v>16528.92561983471</v>
      </c>
      <c r="G8" s="79">
        <f>+'Tarifario completo'!I8</f>
        <v>20000</v>
      </c>
      <c r="H8" s="93">
        <f t="shared" si="0"/>
        <v>27175.011445705946</v>
      </c>
      <c r="I8" s="94">
        <f>+'Tarifario completo'!L8</f>
        <v>32881.763849304196</v>
      </c>
    </row>
    <row r="9" spans="2:9" s="12" customFormat="1" ht="27" customHeight="1" x14ac:dyDescent="0.25">
      <c r="B9" s="11" t="str">
        <f>+'Tarifario completo'!B9</f>
        <v>GAMER F141</v>
      </c>
      <c r="C9" s="39" t="str">
        <f>+'Tarifario completo'!C9</f>
        <v>S</v>
      </c>
      <c r="D9" s="78" t="str">
        <f>+'Tarifario completo'!E9</f>
        <v>F</v>
      </c>
      <c r="E9" s="97" t="str">
        <f>+'Tarifario completo'!F9</f>
        <v>300 M</v>
      </c>
      <c r="F9" s="93">
        <f>+G9/1.21</f>
        <v>16528.92561983471</v>
      </c>
      <c r="G9" s="79">
        <f>+'Tarifario completo'!I9</f>
        <v>20000</v>
      </c>
      <c r="H9" s="93">
        <f>+I9/1.21</f>
        <v>35423.372921159993</v>
      </c>
      <c r="I9" s="94">
        <f>+'Tarifario completo'!L9</f>
        <v>42862.281234603586</v>
      </c>
    </row>
    <row r="10" spans="2:9" s="12" customFormat="1" ht="27" customHeight="1" x14ac:dyDescent="0.25">
      <c r="B10" s="11" t="str">
        <f>+'Tarifario completo'!B10</f>
        <v>WORKER F151</v>
      </c>
      <c r="C10" s="39" t="str">
        <f>+'Tarifario completo'!C10</f>
        <v>S</v>
      </c>
      <c r="D10" s="78" t="str">
        <f>+'Tarifario completo'!E10</f>
        <v>F</v>
      </c>
      <c r="E10" s="97" t="str">
        <f>+'Tarifario completo'!F10</f>
        <v>200 M</v>
      </c>
      <c r="F10" s="93">
        <f>+G10/1.21</f>
        <v>16528.92561983471</v>
      </c>
      <c r="G10" s="79">
        <f>+'Tarifario completo'!I10</f>
        <v>20000</v>
      </c>
      <c r="H10" s="93">
        <f>+I10/1.21</f>
        <v>38645.143991752091</v>
      </c>
      <c r="I10" s="94">
        <f>+'Tarifario completo'!L10</f>
        <v>46760.624230020032</v>
      </c>
    </row>
    <row r="11" spans="2:9" s="12" customFormat="1" ht="27" customHeight="1" x14ac:dyDescent="0.25">
      <c r="B11" s="11" t="str">
        <f>+'Tarifario completo'!B11</f>
        <v>MAX F161   (NUEVO)</v>
      </c>
      <c r="C11" s="39" t="str">
        <f>+'Tarifario completo'!C11</f>
        <v>S</v>
      </c>
      <c r="D11" s="78" t="str">
        <f>+'Tarifario completo'!E11</f>
        <v>F</v>
      </c>
      <c r="E11" s="97" t="str">
        <f>+'Tarifario completo'!F11</f>
        <v>1000 M</v>
      </c>
      <c r="F11" s="93">
        <f>+G11/1.21</f>
        <v>16528.92561983471</v>
      </c>
      <c r="G11" s="79">
        <f>+'Tarifario completo'!I11</f>
        <v>20000</v>
      </c>
      <c r="H11" s="93">
        <f>+I11/1.21</f>
        <v>46146.565530036001</v>
      </c>
      <c r="I11" s="94">
        <f>+'Tarifario completo'!L11</f>
        <v>55837.344291343557</v>
      </c>
    </row>
    <row r="12" spans="2:9" s="12" customFormat="1" ht="27" customHeight="1" x14ac:dyDescent="0.25">
      <c r="B12" s="11" t="str">
        <f>+'Tarifario completo'!B12</f>
        <v>SistaFLEX (domicilio adicional)</v>
      </c>
      <c r="C12" s="39"/>
      <c r="D12" s="78"/>
      <c r="E12" s="97"/>
      <c r="F12" s="93"/>
      <c r="G12" s="79"/>
      <c r="H12" s="93">
        <f>+I12/1.21</f>
        <v>11982.512396694214</v>
      </c>
      <c r="I12" s="94">
        <f>+'Tarifario completo'!L12</f>
        <v>14498.839999999998</v>
      </c>
    </row>
    <row r="13" spans="2:9" s="12" customFormat="1" ht="27" customHeight="1" x14ac:dyDescent="0.25">
      <c r="B13" s="11" t="str">
        <f>+'Tarifario completo'!B13</f>
        <v>ANTINA PLAY +</v>
      </c>
      <c r="C13" s="39"/>
      <c r="D13" s="78"/>
      <c r="E13" s="97"/>
      <c r="F13" s="93"/>
      <c r="G13" s="79"/>
      <c r="H13" s="93">
        <f t="shared" ref="H13:H23" si="1">+I13/1.21</f>
        <v>16438.016528925622</v>
      </c>
      <c r="I13" s="94">
        <f>+'Tarifario completo'!L13</f>
        <v>19890</v>
      </c>
    </row>
    <row r="14" spans="2:9" s="12" customFormat="1" ht="27" customHeight="1" x14ac:dyDescent="0.25">
      <c r="B14" s="11" t="str">
        <f>+'Tarifario completo'!B14</f>
        <v xml:space="preserve">   Básico + Cine</v>
      </c>
      <c r="C14" s="39"/>
      <c r="D14" s="78"/>
      <c r="E14" s="97"/>
      <c r="F14" s="93"/>
      <c r="G14" s="79"/>
      <c r="H14" s="93">
        <f t="shared" ref="H14" si="2">+I14/1.21</f>
        <v>37975.206611570247</v>
      </c>
      <c r="I14" s="94">
        <f>+'Tarifario completo'!L14</f>
        <v>45950</v>
      </c>
    </row>
    <row r="15" spans="2:9" s="12" customFormat="1" ht="27" customHeight="1" x14ac:dyDescent="0.25">
      <c r="B15" s="11" t="str">
        <f>+'Tarifario completo'!B15</f>
        <v xml:space="preserve">   Pack Fútbol (Antina)</v>
      </c>
      <c r="C15" s="39"/>
      <c r="D15" s="78"/>
      <c r="E15" s="97"/>
      <c r="F15" s="93"/>
      <c r="G15" s="79"/>
      <c r="H15" s="93">
        <f t="shared" si="1"/>
        <v>24380.165289256198</v>
      </c>
      <c r="I15" s="94">
        <f>+'Tarifario completo'!L15</f>
        <v>29500</v>
      </c>
    </row>
    <row r="16" spans="2:9" s="12" customFormat="1" ht="27" customHeight="1" x14ac:dyDescent="0.25">
      <c r="B16" s="11" t="str">
        <f>+'Tarifario completo'!B16</f>
        <v>DGO Full</v>
      </c>
      <c r="C16" s="39"/>
      <c r="D16" s="78"/>
      <c r="E16" s="97"/>
      <c r="F16" s="93"/>
      <c r="G16" s="79"/>
      <c r="H16" s="93">
        <f t="shared" si="1"/>
        <v>28966.942148760332</v>
      </c>
      <c r="I16" s="94">
        <f>+'Tarifario completo'!L16</f>
        <v>35050</v>
      </c>
    </row>
    <row r="17" spans="2:9" s="12" customFormat="1" ht="27" customHeight="1" x14ac:dyDescent="0.25">
      <c r="B17" s="11" t="str">
        <f>+'Tarifario completo'!B17</f>
        <v xml:space="preserve">   DGo Fútbol total (Full + Dsports + Amazon + Fútbol) NUEVO</v>
      </c>
      <c r="C17" s="39"/>
      <c r="D17" s="78"/>
      <c r="E17" s="97"/>
      <c r="F17" s="93"/>
      <c r="G17" s="79"/>
      <c r="H17" s="93">
        <f t="shared" si="1"/>
        <v>32479.338842975209</v>
      </c>
      <c r="I17" s="94">
        <f>+'Tarifario completo'!L17</f>
        <v>39300</v>
      </c>
    </row>
    <row r="18" spans="2:9" s="12" customFormat="1" ht="27" customHeight="1" x14ac:dyDescent="0.25">
      <c r="B18" s="11" t="str">
        <f>+'Tarifario completo'!B18</f>
        <v xml:space="preserve">   Pack Fútbol (DGo)</v>
      </c>
      <c r="C18" s="39"/>
      <c r="D18" s="78"/>
      <c r="E18" s="97"/>
      <c r="F18" s="93"/>
      <c r="G18" s="79"/>
      <c r="H18" s="93">
        <f t="shared" si="1"/>
        <v>21165.289256198346</v>
      </c>
      <c r="I18" s="94">
        <f>+'Tarifario completo'!L18</f>
        <v>25610</v>
      </c>
    </row>
    <row r="19" spans="2:9" s="12" customFormat="1" ht="27" customHeight="1" x14ac:dyDescent="0.25">
      <c r="B19" s="11" t="str">
        <f>+'Tarifario completo'!B19</f>
        <v xml:space="preserve">   PARAMOUNT + (Dgo)</v>
      </c>
      <c r="C19" s="39"/>
      <c r="D19" s="78"/>
      <c r="E19" s="97"/>
      <c r="F19" s="93"/>
      <c r="G19" s="79"/>
      <c r="H19" s="93">
        <f t="shared" si="1"/>
        <v>7549.5867768595044</v>
      </c>
      <c r="I19" s="94">
        <f>+'Tarifario completo'!L19</f>
        <v>9135</v>
      </c>
    </row>
    <row r="20" spans="2:9" s="12" customFormat="1" ht="27" customHeight="1" x14ac:dyDescent="0.25">
      <c r="B20" s="11" t="str">
        <f>+'Tarifario completo'!B20</f>
        <v xml:space="preserve">   UNIVERSAL (DGo)</v>
      </c>
      <c r="C20" s="39"/>
      <c r="D20" s="78"/>
      <c r="E20" s="97"/>
      <c r="F20" s="93"/>
      <c r="G20" s="79"/>
      <c r="H20" s="93">
        <f t="shared" si="1"/>
        <v>12495.867768595042</v>
      </c>
      <c r="I20" s="94">
        <f>+'Tarifario completo'!L20</f>
        <v>15120</v>
      </c>
    </row>
    <row r="21" spans="2:9" s="12" customFormat="1" ht="27" customHeight="1" x14ac:dyDescent="0.25">
      <c r="B21" s="11" t="str">
        <f>+'Tarifario completo'!B21</f>
        <v>GIGARED Básico</v>
      </c>
      <c r="C21" s="39"/>
      <c r="D21" s="78"/>
      <c r="E21" s="97"/>
      <c r="F21" s="93"/>
      <c r="G21" s="79"/>
      <c r="H21" s="93">
        <f t="shared" ref="H21:H22" si="3">+I21/1.21</f>
        <v>10826.446280991735</v>
      </c>
      <c r="I21" s="94">
        <f>+'Tarifario completo'!L21</f>
        <v>13100</v>
      </c>
    </row>
    <row r="22" spans="2:9" s="12" customFormat="1" ht="27" customHeight="1" x14ac:dyDescent="0.25">
      <c r="B22" s="11" t="str">
        <f>+'Tarifario completo'!B22</f>
        <v xml:space="preserve">   Pack Fútbol (Gigared)</v>
      </c>
      <c r="C22" s="39"/>
      <c r="D22" s="78"/>
      <c r="E22" s="97"/>
      <c r="F22" s="93"/>
      <c r="G22" s="79"/>
      <c r="H22" s="93">
        <f t="shared" si="3"/>
        <v>21165.289256198346</v>
      </c>
      <c r="I22" s="94">
        <f>+'Tarifario completo'!L22</f>
        <v>25610</v>
      </c>
    </row>
    <row r="23" spans="2:9" s="12" customFormat="1" ht="27" customHeight="1" x14ac:dyDescent="0.25">
      <c r="B23" s="11" t="str">
        <f>+'Tarifario completo'!B23</f>
        <v>LINEA VIP 55-011</v>
      </c>
      <c r="C23" s="39"/>
      <c r="D23" s="78"/>
      <c r="E23" s="97"/>
      <c r="F23" s="93"/>
      <c r="G23" s="79"/>
      <c r="H23" s="93">
        <f t="shared" si="1"/>
        <v>17728.413636894245</v>
      </c>
      <c r="I23" s="94">
        <f>+'Tarifario completo'!L23</f>
        <v>21451.380500642037</v>
      </c>
    </row>
    <row r="24" spans="2:9" s="12" customFormat="1" ht="27" customHeight="1" x14ac:dyDescent="0.25">
      <c r="B24" s="11" t="str">
        <f>+'Tarifario completo'!B24</f>
        <v>LINEA VIP 56-221</v>
      </c>
      <c r="C24" s="39">
        <f>+'Tarifario completo'!C24</f>
        <v>0</v>
      </c>
      <c r="D24" s="78">
        <f>+'Tarifario completo'!E24</f>
        <v>0</v>
      </c>
      <c r="E24" s="97">
        <f>+'Tarifario completo'!F24</f>
        <v>0</v>
      </c>
      <c r="F24" s="93">
        <f t="shared" ref="F24:F29" si="4">+G24/1.21</f>
        <v>0</v>
      </c>
      <c r="G24" s="79">
        <f>+'Tarifario completo'!I24</f>
        <v>0</v>
      </c>
      <c r="H24" s="93">
        <f t="shared" ref="H24:H29" si="5">+I24/1.21</f>
        <v>8414.0554297669441</v>
      </c>
      <c r="I24" s="94">
        <f>+'Tarifario completo'!L24</f>
        <v>10181.007070018002</v>
      </c>
    </row>
    <row r="25" spans="2:9" s="12" customFormat="1" ht="27" customHeight="1" x14ac:dyDescent="0.25">
      <c r="B25" s="11" t="str">
        <f>+'Tarifario completo'!B25</f>
        <v>PABXIP VIRTUAL.BASICA (****)</v>
      </c>
      <c r="C25" s="39">
        <f>+'Tarifario completo'!C25</f>
        <v>0</v>
      </c>
      <c r="D25" s="78">
        <f>+'Tarifario completo'!E25</f>
        <v>0</v>
      </c>
      <c r="E25" s="97">
        <f>+'Tarifario completo'!F25</f>
        <v>0</v>
      </c>
      <c r="F25" s="93">
        <f t="shared" ref="F25:F27" si="6">+G25/1.21</f>
        <v>177272.72727272726</v>
      </c>
      <c r="G25" s="79">
        <f>+'Tarifario completo'!I25</f>
        <v>214500</v>
      </c>
      <c r="H25" s="93">
        <f t="shared" ref="H25:H27" si="7">+I25/1.21</f>
        <v>31969.704111484607</v>
      </c>
      <c r="I25" s="94">
        <f>+'Tarifario completo'!L25</f>
        <v>38683.341974896372</v>
      </c>
    </row>
    <row r="26" spans="2:9" s="12" customFormat="1" ht="27" customHeight="1" x14ac:dyDescent="0.25">
      <c r="B26" s="11" t="str">
        <f>+'Tarifario completo'!B26</f>
        <v>Línea Adicional a PABXIP</v>
      </c>
      <c r="C26" s="39">
        <f>+'Tarifario completo'!C26</f>
        <v>0</v>
      </c>
      <c r="D26" s="78">
        <f>+'Tarifario completo'!E26</f>
        <v>0</v>
      </c>
      <c r="E26" s="97">
        <f>+'Tarifario completo'!F26</f>
        <v>0</v>
      </c>
      <c r="F26" s="93">
        <f t="shared" si="6"/>
        <v>0</v>
      </c>
      <c r="G26" s="79">
        <f>+'Tarifario completo'!I26</f>
        <v>0</v>
      </c>
      <c r="H26" s="93">
        <f t="shared" si="7"/>
        <v>6393.9408222969214</v>
      </c>
      <c r="I26" s="94">
        <f>+'Tarifario completo'!L26</f>
        <v>7736.6683949792741</v>
      </c>
    </row>
    <row r="27" spans="2:9" s="12" customFormat="1" ht="27" customHeight="1" x14ac:dyDescent="0.25">
      <c r="B27" s="11" t="str">
        <f>+'Tarifario completo'!B27</f>
        <v>Internos adicionales a PABXIP</v>
      </c>
      <c r="C27" s="39">
        <f>+'Tarifario completo'!C27</f>
        <v>0</v>
      </c>
      <c r="D27" s="78">
        <f>+'Tarifario completo'!E27</f>
        <v>0</v>
      </c>
      <c r="E27" s="97">
        <f>+'Tarifario completo'!F27</f>
        <v>0</v>
      </c>
      <c r="F27" s="93">
        <f t="shared" si="6"/>
        <v>0</v>
      </c>
      <c r="G27" s="79">
        <f>+'Tarifario completo'!I27</f>
        <v>0</v>
      </c>
      <c r="H27" s="93">
        <f t="shared" si="7"/>
        <v>3196.9704111484607</v>
      </c>
      <c r="I27" s="94">
        <f>+'Tarifario completo'!L27</f>
        <v>3868.3341974896371</v>
      </c>
    </row>
    <row r="28" spans="2:9" s="12" customFormat="1" ht="27" customHeight="1" x14ac:dyDescent="0.25">
      <c r="B28" s="11" t="str">
        <f>+'Tarifario completo'!B28</f>
        <v>SPRINT Banda 74</v>
      </c>
      <c r="C28" s="39" t="str">
        <f>+'Tarifario completo'!C28</f>
        <v>A</v>
      </c>
      <c r="D28" s="78" t="str">
        <f>+'Tarifario completo'!E28</f>
        <v>R</v>
      </c>
      <c r="E28" s="97" t="str">
        <f>+'Tarifario completo'!F28</f>
        <v>6/3 M</v>
      </c>
      <c r="F28" s="93">
        <f t="shared" si="4"/>
        <v>41322.314049586777</v>
      </c>
      <c r="G28" s="79">
        <f>+'Tarifario completo'!I28</f>
        <v>50000</v>
      </c>
      <c r="H28" s="93">
        <f t="shared" si="5"/>
        <v>37912.89011370144</v>
      </c>
      <c r="I28" s="94">
        <f>+'Tarifario completo'!L28</f>
        <v>45874.597037578744</v>
      </c>
    </row>
    <row r="29" spans="2:9" s="12" customFormat="1" ht="27" customHeight="1" x14ac:dyDescent="0.25">
      <c r="B29" s="11" t="str">
        <f>+'Tarifario completo'!B29</f>
        <v>SPRINT Banda 77 (*)</v>
      </c>
      <c r="C29" s="39" t="str">
        <f>+'Tarifario completo'!C29</f>
        <v>A</v>
      </c>
      <c r="D29" s="78" t="str">
        <f>+'Tarifario completo'!E29</f>
        <v>R</v>
      </c>
      <c r="E29" s="97" t="str">
        <f>+'Tarifario completo'!F29</f>
        <v>10/5 M</v>
      </c>
      <c r="F29" s="93">
        <f t="shared" si="4"/>
        <v>41322.314049586777</v>
      </c>
      <c r="G29" s="79">
        <f>+'Tarifario completo'!I29</f>
        <v>50000</v>
      </c>
      <c r="H29" s="93">
        <f t="shared" si="5"/>
        <v>42711.728588784506</v>
      </c>
      <c r="I29" s="94">
        <f>+'Tarifario completo'!L29</f>
        <v>51681.191592429248</v>
      </c>
    </row>
    <row r="30" spans="2:9" s="12" customFormat="1" ht="24" customHeight="1" x14ac:dyDescent="0.25">
      <c r="B30" s="11" t="str">
        <f>+'Tarifario completo'!B37</f>
        <v>Cableado por dispositivo HASTA 10 metros</v>
      </c>
      <c r="C30" s="39"/>
      <c r="D30" s="82"/>
      <c r="E30" s="98"/>
      <c r="F30" s="62">
        <f>+G30/1.21</f>
        <v>33057.85123966942</v>
      </c>
      <c r="G30" s="79">
        <f>+'Tarifario completo'!I37</f>
        <v>40000</v>
      </c>
      <c r="H30" s="62">
        <f>+I30/1.21</f>
        <v>0</v>
      </c>
      <c r="I30" s="94">
        <f>+'Tarifario completo'!L37</f>
        <v>0</v>
      </c>
    </row>
    <row r="31" spans="2:9" s="12" customFormat="1" ht="24" customHeight="1" x14ac:dyDescent="0.25">
      <c r="B31" s="11" t="str">
        <f>+'Tarifario completo'!B38</f>
        <v>Cableado METRO ADICIONAL</v>
      </c>
      <c r="C31" s="39"/>
      <c r="D31" s="82"/>
      <c r="E31" s="98"/>
      <c r="F31" s="62">
        <f>+G31/1.21</f>
        <v>3305.7851239669421</v>
      </c>
      <c r="G31" s="79">
        <f>+'Tarifario completo'!I38</f>
        <v>4000</v>
      </c>
      <c r="H31" s="62"/>
      <c r="I31" s="94"/>
    </row>
    <row r="32" spans="2:9" s="12" customFormat="1" ht="24" customHeight="1" x14ac:dyDescent="0.25">
      <c r="B32" s="11" t="str">
        <f>+'Tarifario completo'!B39</f>
        <v>Tareas a domicilio (precio por hora)</v>
      </c>
      <c r="C32" s="39"/>
      <c r="D32" s="82"/>
      <c r="E32" s="98"/>
      <c r="F32" s="62">
        <f t="shared" ref="F32:F36" si="8">+G32/1.21</f>
        <v>33057.85123966942</v>
      </c>
      <c r="G32" s="79">
        <f>+'Tarifario completo'!I39</f>
        <v>40000</v>
      </c>
      <c r="H32" s="62">
        <f t="shared" ref="H32:H36" si="9">+I32/1.21</f>
        <v>0</v>
      </c>
      <c r="I32" s="94">
        <f>+'Tarifario completo'!L39</f>
        <v>0</v>
      </c>
    </row>
    <row r="33" spans="2:9" s="12" customFormat="1" ht="24" customHeight="1" x14ac:dyDescent="0.25">
      <c r="B33" s="11" t="str">
        <f>+'Tarifario completo'!B40</f>
        <v>Traslado de Servicio RADIO</v>
      </c>
      <c r="C33" s="39"/>
      <c r="D33" s="82"/>
      <c r="E33" s="98"/>
      <c r="F33" s="62">
        <f t="shared" si="8"/>
        <v>24793.388429752067</v>
      </c>
      <c r="G33" s="79">
        <f>+'Tarifario completo'!I40</f>
        <v>30000</v>
      </c>
      <c r="H33" s="62">
        <f t="shared" si="9"/>
        <v>0</v>
      </c>
      <c r="I33" s="94">
        <f>+'Tarifario completo'!L40</f>
        <v>0</v>
      </c>
    </row>
    <row r="34" spans="2:9" s="12" customFormat="1" ht="24" customHeight="1" x14ac:dyDescent="0.25">
      <c r="B34" s="11" t="str">
        <f>+'Tarifario completo'!B41</f>
        <v>Traslado de Servicio FIBRA</v>
      </c>
      <c r="C34" s="39"/>
      <c r="D34" s="82"/>
      <c r="E34" s="98"/>
      <c r="F34" s="62">
        <f t="shared" si="8"/>
        <v>13636.363636363636</v>
      </c>
      <c r="G34" s="79">
        <f>+'Tarifario completo'!I41</f>
        <v>16500</v>
      </c>
      <c r="H34" s="62">
        <f t="shared" si="9"/>
        <v>0</v>
      </c>
      <c r="I34" s="94">
        <f>+'Tarifario completo'!L41</f>
        <v>0</v>
      </c>
    </row>
    <row r="35" spans="2:9" s="12" customFormat="1" ht="24" customHeight="1" x14ac:dyDescent="0.25">
      <c r="B35" s="11" t="str">
        <f>+'Tarifario completo'!B42</f>
        <v>ROUTER - Configuracion en oficina</v>
      </c>
      <c r="C35" s="39"/>
      <c r="D35" s="82"/>
      <c r="E35" s="98"/>
      <c r="F35" s="62">
        <f t="shared" si="8"/>
        <v>13636.363636363636</v>
      </c>
      <c r="G35" s="79">
        <f>+'Tarifario completo'!I42</f>
        <v>16500</v>
      </c>
      <c r="H35" s="62">
        <f t="shared" si="9"/>
        <v>0</v>
      </c>
      <c r="I35" s="94">
        <f>+'Tarifario completo'!L42</f>
        <v>0</v>
      </c>
    </row>
    <row r="36" spans="2:9" s="12" customFormat="1" ht="24" customHeight="1" x14ac:dyDescent="0.25">
      <c r="B36" s="11" t="str">
        <f>+'Tarifario completo'!B43</f>
        <v>ROUTER - Configuracion, instalacion en domicilio y puesta en servicio</v>
      </c>
      <c r="C36" s="39"/>
      <c r="D36" s="82"/>
      <c r="E36" s="98"/>
      <c r="F36" s="62">
        <f t="shared" si="8"/>
        <v>33057.85123966942</v>
      </c>
      <c r="G36" s="79">
        <f>+'Tarifario completo'!I43</f>
        <v>40000</v>
      </c>
      <c r="H36" s="62">
        <f t="shared" si="9"/>
        <v>0</v>
      </c>
      <c r="I36" s="94">
        <f>+'Tarifario completo'!L43</f>
        <v>0</v>
      </c>
    </row>
    <row r="37" spans="2:9" s="12" customFormat="1" ht="24" customHeight="1" x14ac:dyDescent="0.25">
      <c r="B37" s="11" t="str">
        <f>+'Tarifario completo'!B44</f>
        <v>Reactivación del Servicio (**)</v>
      </c>
      <c r="C37" s="39"/>
      <c r="D37" s="82"/>
      <c r="E37" s="98"/>
      <c r="F37" s="62">
        <f t="shared" ref="F37" si="10">+G37/1.21</f>
        <v>3719.0082644628101</v>
      </c>
      <c r="G37" s="79">
        <f>+'Tarifario completo'!I44</f>
        <v>4500</v>
      </c>
      <c r="H37" s="62"/>
      <c r="I37" s="94"/>
    </row>
    <row r="38" spans="2:9" s="12" customFormat="1" ht="24" customHeight="1" x14ac:dyDescent="0.25">
      <c r="B38" s="11" t="str">
        <f>+'Tarifario completo'!B45</f>
        <v>Reconexión del Servicio (***)</v>
      </c>
      <c r="C38" s="39"/>
      <c r="D38" s="82"/>
      <c r="E38" s="98"/>
      <c r="F38" s="62">
        <f t="shared" ref="F38" si="11">+G38/1.21</f>
        <v>10743.801652892562</v>
      </c>
      <c r="G38" s="79">
        <f>+'Tarifario completo'!I45</f>
        <v>13000</v>
      </c>
      <c r="H38" s="62"/>
      <c r="I38" s="94"/>
    </row>
    <row r="39" spans="2:9" s="12" customFormat="1" ht="24" customHeight="1" thickBot="1" x14ac:dyDescent="0.3">
      <c r="B39" s="89" t="str">
        <f>+'Tarifario completo'!B47</f>
        <v>Direccion IP Publica Fija</v>
      </c>
      <c r="C39" s="90"/>
      <c r="D39" s="90"/>
      <c r="E39" s="99"/>
      <c r="F39" s="91"/>
      <c r="G39" s="92">
        <f>+'Tarifario completo'!I47</f>
        <v>0</v>
      </c>
      <c r="H39" s="91">
        <f>+I39/1.21</f>
        <v>35858.662711649951</v>
      </c>
      <c r="I39" s="95">
        <f>+'Tarifario completo'!L47</f>
        <v>43388.981881096443</v>
      </c>
    </row>
    <row r="41" spans="2:9" s="40" customFormat="1" ht="23.25" x14ac:dyDescent="0.25">
      <c r="B41" s="88" t="s">
        <v>132</v>
      </c>
      <c r="H41" s="88" t="s">
        <v>100</v>
      </c>
    </row>
    <row r="42" spans="2:9" s="40" customFormat="1" ht="27.75" x14ac:dyDescent="0.25">
      <c r="B42" s="88" t="s">
        <v>133</v>
      </c>
      <c r="H42" s="88" t="s">
        <v>101</v>
      </c>
    </row>
    <row r="43" spans="2:9" s="40" customFormat="1" ht="23.25" x14ac:dyDescent="0.25">
      <c r="B43" s="88" t="s">
        <v>134</v>
      </c>
      <c r="H43" s="88" t="s">
        <v>102</v>
      </c>
    </row>
    <row r="44" spans="2:9" s="40" customFormat="1" ht="23.25" x14ac:dyDescent="0.25">
      <c r="B44" s="165" t="s">
        <v>194</v>
      </c>
      <c r="H44" s="88" t="s">
        <v>103</v>
      </c>
    </row>
  </sheetData>
  <mergeCells count="4">
    <mergeCell ref="H3:I3"/>
    <mergeCell ref="B3:E3"/>
    <mergeCell ref="F3:G3"/>
    <mergeCell ref="C4:D4"/>
  </mergeCells>
  <printOptions horizontalCentered="1"/>
  <pageMargins left="0.31496062992125984" right="0.27559055118110237" top="0.78740157480314965" bottom="0.6692913385826772" header="0.31496062992125984" footer="0.51181102362204722"/>
  <pageSetup paperSize="9" scale="41" orientation="landscape" r:id="rId1"/>
  <headerFooter alignWithMargins="0">
    <oddHeader>&amp;L&amp;G&amp;C&amp;"Arial,Negrita"&amp;20Lista de Precios</oddHeader>
    <oddFooter>&amp;L&amp;"Arial,Negrita"Sista s.a.&amp;CAv. Almirante Brown N° 3064 e/ 54 bis y 56 – Punta Lara, Pdo de Ensenada (B1931AAA) Pcia de Buenos Aires&amp;RTel 0221-466-2200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L20"/>
  <sheetViews>
    <sheetView showGridLines="0" zoomScale="130" zoomScaleNormal="130" workbookViewId="0">
      <selection activeCell="J18" sqref="A1:J18"/>
    </sheetView>
  </sheetViews>
  <sheetFormatPr baseColWidth="10" defaultColWidth="11.5703125" defaultRowHeight="12.75" x14ac:dyDescent="0.25"/>
  <cols>
    <col min="1" max="1" width="4.85546875" style="14" customWidth="1"/>
    <col min="2" max="2" width="14.5703125" style="14" customWidth="1"/>
    <col min="3" max="4" width="10.42578125" style="14" customWidth="1"/>
    <col min="5" max="5" width="9.42578125" style="14" customWidth="1"/>
    <col min="6" max="6" width="10.85546875" style="14" customWidth="1"/>
    <col min="7" max="7" width="9.42578125" style="14" customWidth="1"/>
    <col min="8" max="8" width="11.28515625" style="14" bestFit="1" customWidth="1"/>
    <col min="9" max="10" width="15.85546875" style="14" customWidth="1"/>
    <col min="11" max="11" width="10.5703125" style="14" customWidth="1"/>
    <col min="12" max="16384" width="11.5703125" style="14"/>
  </cols>
  <sheetData>
    <row r="2" spans="1:12" s="31" customFormat="1" ht="19.350000000000001" customHeight="1" thickBot="1" x14ac:dyDescent="0.3">
      <c r="B2" s="32" t="s">
        <v>27</v>
      </c>
      <c r="C2" s="32"/>
      <c r="J2" s="42">
        <f>+'Tarifario completo'!L2</f>
        <v>46266</v>
      </c>
    </row>
    <row r="3" spans="1:12" s="30" customFormat="1" ht="30" customHeight="1" x14ac:dyDescent="0.25">
      <c r="B3" s="217" t="s">
        <v>26</v>
      </c>
      <c r="C3" s="219" t="s">
        <v>25</v>
      </c>
      <c r="D3" s="214" t="s">
        <v>110</v>
      </c>
      <c r="E3" s="214" t="s">
        <v>24</v>
      </c>
      <c r="F3" s="214" t="s">
        <v>14</v>
      </c>
      <c r="G3" s="214" t="s">
        <v>23</v>
      </c>
      <c r="H3" s="214" t="s">
        <v>40</v>
      </c>
      <c r="I3" s="214" t="s">
        <v>22</v>
      </c>
      <c r="J3" s="216"/>
    </row>
    <row r="4" spans="1:12" s="29" customFormat="1" ht="30" customHeight="1" x14ac:dyDescent="0.25">
      <c r="B4" s="218"/>
      <c r="C4" s="220"/>
      <c r="D4" s="215"/>
      <c r="E4" s="215"/>
      <c r="F4" s="215"/>
      <c r="G4" s="215"/>
      <c r="H4" s="215"/>
      <c r="I4" s="81" t="s">
        <v>21</v>
      </c>
      <c r="J4" s="50" t="s">
        <v>20</v>
      </c>
    </row>
    <row r="5" spans="1:12" ht="18.600000000000001" customHeight="1" x14ac:dyDescent="0.25">
      <c r="B5" s="43" t="s">
        <v>38</v>
      </c>
      <c r="C5" s="26" t="s">
        <v>34</v>
      </c>
      <c r="D5" s="26" t="s">
        <v>18</v>
      </c>
      <c r="E5" s="27">
        <v>800</v>
      </c>
      <c r="F5" s="27">
        <f>+'Tarifario completo'!L23</f>
        <v>21451.380500642037</v>
      </c>
      <c r="G5" s="26">
        <v>500</v>
      </c>
      <c r="H5" s="223">
        <f>+'Tarifario completo'!$L$48</f>
        <v>239.63344364310535</v>
      </c>
      <c r="I5" s="84">
        <f>+'Tarifario completo'!$L$49</f>
        <v>30.04025988144986</v>
      </c>
      <c r="J5" s="221">
        <f>+'Tarifario completo'!$L$50</f>
        <v>29.850532772151535</v>
      </c>
      <c r="L5" s="129"/>
    </row>
    <row r="6" spans="1:12" ht="18.600000000000001" customHeight="1" x14ac:dyDescent="0.25">
      <c r="B6" s="43" t="s">
        <v>39</v>
      </c>
      <c r="C6" s="26" t="s">
        <v>34</v>
      </c>
      <c r="D6" s="26" t="s">
        <v>17</v>
      </c>
      <c r="E6" s="27">
        <v>800</v>
      </c>
      <c r="F6" s="27">
        <f>+'Tarifario completo'!L24</f>
        <v>10181.007070018002</v>
      </c>
      <c r="G6" s="26">
        <v>500</v>
      </c>
      <c r="H6" s="223"/>
      <c r="I6" s="84">
        <f>+'Tarifario completo'!$L$49</f>
        <v>30.04025988144986</v>
      </c>
      <c r="J6" s="221"/>
    </row>
    <row r="7" spans="1:12" ht="18.600000000000001" customHeight="1" x14ac:dyDescent="0.25">
      <c r="B7" s="43" t="s">
        <v>36</v>
      </c>
      <c r="C7" s="26" t="s">
        <v>15</v>
      </c>
      <c r="D7" s="26" t="s">
        <v>18</v>
      </c>
      <c r="E7" s="28" t="s">
        <v>19</v>
      </c>
      <c r="F7" s="27">
        <f>+F5</f>
        <v>21451.380500642037</v>
      </c>
      <c r="G7" s="26">
        <v>500</v>
      </c>
      <c r="H7" s="223"/>
      <c r="I7" s="84">
        <f>+'Tarifario completo'!$L$49</f>
        <v>30.04025988144986</v>
      </c>
      <c r="J7" s="221"/>
    </row>
    <row r="8" spans="1:12" ht="18.600000000000001" customHeight="1" thickBot="1" x14ac:dyDescent="0.3">
      <c r="B8" s="48" t="s">
        <v>37</v>
      </c>
      <c r="C8" s="44" t="s">
        <v>15</v>
      </c>
      <c r="D8" s="44" t="s">
        <v>17</v>
      </c>
      <c r="E8" s="49" t="s">
        <v>19</v>
      </c>
      <c r="F8" s="27">
        <f>+F6</f>
        <v>10181.007070018002</v>
      </c>
      <c r="G8" s="44">
        <v>500</v>
      </c>
      <c r="H8" s="224"/>
      <c r="I8" s="84">
        <f>+'Tarifario completo'!$L$49</f>
        <v>30.04025988144986</v>
      </c>
      <c r="J8" s="222"/>
    </row>
    <row r="9" spans="1:12" ht="13.35" customHeight="1" x14ac:dyDescent="0.25">
      <c r="D9" s="24"/>
      <c r="E9" s="25"/>
      <c r="F9" s="25"/>
      <c r="G9" s="25"/>
      <c r="H9" s="24"/>
      <c r="I9" s="24"/>
      <c r="J9" s="59">
        <f>+'Tarifario completo'!F2</f>
        <v>26.09</v>
      </c>
    </row>
    <row r="10" spans="1:12" s="19" customFormat="1" ht="13.35" customHeight="1" x14ac:dyDescent="0.25">
      <c r="A10" s="14"/>
      <c r="B10" s="19" t="s">
        <v>43</v>
      </c>
      <c r="D10" s="22"/>
      <c r="E10" s="23"/>
      <c r="F10" s="23"/>
      <c r="G10" s="23"/>
      <c r="H10" s="22"/>
      <c r="I10" s="22"/>
      <c r="J10" s="21"/>
      <c r="K10" s="20"/>
    </row>
    <row r="12" spans="1:12" s="17" customFormat="1" x14ac:dyDescent="0.25">
      <c r="A12" s="14"/>
      <c r="B12" s="17" t="s">
        <v>111</v>
      </c>
      <c r="H12" s="18"/>
      <c r="I12" s="18"/>
      <c r="J12" s="64"/>
    </row>
    <row r="13" spans="1:12" s="17" customFormat="1" x14ac:dyDescent="0.25">
      <c r="A13" s="14"/>
      <c r="G13" s="63" t="s">
        <v>178</v>
      </c>
    </row>
    <row r="14" spans="1:12" x14ac:dyDescent="0.25">
      <c r="B14" s="14" t="s">
        <v>48</v>
      </c>
    </row>
    <row r="15" spans="1:12" x14ac:dyDescent="0.25">
      <c r="B15" s="14" t="s">
        <v>16</v>
      </c>
    </row>
    <row r="16" spans="1:12" x14ac:dyDescent="0.25">
      <c r="B16" s="31"/>
      <c r="C16" s="31"/>
      <c r="D16" s="16"/>
      <c r="E16" s="16"/>
    </row>
    <row r="17" spans="1:11" x14ac:dyDescent="0.25">
      <c r="B17" s="14" t="s">
        <v>112</v>
      </c>
    </row>
    <row r="18" spans="1:11" x14ac:dyDescent="0.25">
      <c r="B18" s="14" t="s">
        <v>113</v>
      </c>
    </row>
    <row r="20" spans="1:11" s="15" customFormat="1" ht="63.6" customHeight="1" x14ac:dyDescent="0.25">
      <c r="A20" s="213" t="s">
        <v>203</v>
      </c>
      <c r="B20" s="213"/>
      <c r="C20" s="213"/>
      <c r="D20" s="213"/>
      <c r="E20" s="213"/>
      <c r="F20" s="213"/>
      <c r="G20" s="213"/>
      <c r="H20" s="213"/>
      <c r="I20" s="213"/>
      <c r="J20" s="213"/>
      <c r="K20" s="213"/>
    </row>
  </sheetData>
  <mergeCells count="11">
    <mergeCell ref="A20:K20"/>
    <mergeCell ref="F3:F4"/>
    <mergeCell ref="G3:G4"/>
    <mergeCell ref="I3:J3"/>
    <mergeCell ref="B3:B4"/>
    <mergeCell ref="C3:C4"/>
    <mergeCell ref="D3:D4"/>
    <mergeCell ref="E3:E4"/>
    <mergeCell ref="J5:J8"/>
    <mergeCell ref="H3:H4"/>
    <mergeCell ref="H5:H8"/>
  </mergeCells>
  <hyperlinks>
    <hyperlink ref="G13" r:id="rId1" xr:uid="{00000000-0004-0000-0300-000000000000}"/>
  </hyperlinks>
  <pageMargins left="0.78740157480314965" right="0.78740157480314965" top="1.9685039370078741" bottom="1.1811023622047245" header="0.78740157480314965" footer="0.51181102362204722"/>
  <pageSetup paperSize="9" scale="96" orientation="landscape" r:id="rId2"/>
  <headerFooter>
    <oddHeader>&amp;L&amp;G</oddHeader>
  </headerFooter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3277"/>
  <sheetViews>
    <sheetView showGridLines="0" zoomScale="145" zoomScaleNormal="145" workbookViewId="0">
      <selection sqref="A1:E1048576"/>
    </sheetView>
  </sheetViews>
  <sheetFormatPr baseColWidth="10" defaultColWidth="11.5703125" defaultRowHeight="15" x14ac:dyDescent="0.2"/>
  <cols>
    <col min="1" max="1" width="4" style="33" customWidth="1"/>
    <col min="2" max="2" width="11.28515625" style="184" bestFit="1" customWidth="1"/>
    <col min="3" max="3" width="27.140625" style="184" bestFit="1" customWidth="1"/>
    <col min="4" max="4" width="10.140625" style="185" customWidth="1"/>
    <col min="5" max="5" width="10.140625" style="186" customWidth="1"/>
    <col min="6" max="16384" width="11.5703125" style="33"/>
  </cols>
  <sheetData>
    <row r="2" spans="2:11" ht="15.75" x14ac:dyDescent="0.2">
      <c r="B2" s="172" t="s">
        <v>208</v>
      </c>
      <c r="C2" s="172"/>
      <c r="D2" s="173"/>
      <c r="E2" s="174"/>
    </row>
    <row r="3" spans="2:11" s="183" customFormat="1" ht="14.1" customHeight="1" x14ac:dyDescent="0.2">
      <c r="B3" s="175"/>
      <c r="C3" s="175"/>
      <c r="D3" s="176" t="s">
        <v>209</v>
      </c>
      <c r="E3" s="182">
        <v>46174</v>
      </c>
    </row>
    <row r="4" spans="2:11" s="34" customFormat="1" ht="25.5" x14ac:dyDescent="0.2">
      <c r="B4" s="177" t="s">
        <v>31</v>
      </c>
      <c r="C4" s="178" t="s">
        <v>30</v>
      </c>
      <c r="D4" s="177" t="s">
        <v>210</v>
      </c>
      <c r="E4" s="177" t="s">
        <v>211</v>
      </c>
    </row>
    <row r="5" spans="2:11" ht="12.6" customHeight="1" x14ac:dyDescent="0.2">
      <c r="B5" s="179" t="s">
        <v>212</v>
      </c>
      <c r="C5" s="180" t="s">
        <v>213</v>
      </c>
      <c r="D5" s="179" t="s">
        <v>214</v>
      </c>
      <c r="E5" s="181">
        <v>0.5</v>
      </c>
      <c r="G5" s="225" t="s">
        <v>29</v>
      </c>
      <c r="H5" s="225"/>
      <c r="I5" s="225"/>
      <c r="J5" s="225"/>
      <c r="K5" s="225"/>
    </row>
    <row r="6" spans="2:11" ht="12.75" x14ac:dyDescent="0.2">
      <c r="B6" s="179" t="s">
        <v>215</v>
      </c>
      <c r="C6" s="180" t="s">
        <v>213</v>
      </c>
      <c r="D6" s="179" t="s">
        <v>216</v>
      </c>
      <c r="E6" s="181">
        <v>0.5</v>
      </c>
      <c r="G6" s="225"/>
      <c r="H6" s="225"/>
      <c r="I6" s="225"/>
      <c r="J6" s="225"/>
      <c r="K6" s="225"/>
    </row>
    <row r="7" spans="2:11" ht="12.75" x14ac:dyDescent="0.2">
      <c r="B7" s="179" t="s">
        <v>217</v>
      </c>
      <c r="C7" s="180" t="s">
        <v>218</v>
      </c>
      <c r="D7" s="179" t="s">
        <v>214</v>
      </c>
      <c r="E7" s="181">
        <v>0.1</v>
      </c>
      <c r="G7" s="225"/>
      <c r="H7" s="225"/>
      <c r="I7" s="225"/>
      <c r="J7" s="225"/>
      <c r="K7" s="225"/>
    </row>
    <row r="8" spans="2:11" ht="12.75" x14ac:dyDescent="0.2">
      <c r="B8" s="179" t="s">
        <v>219</v>
      </c>
      <c r="C8" s="180" t="s">
        <v>218</v>
      </c>
      <c r="D8" s="179" t="s">
        <v>216</v>
      </c>
      <c r="E8" s="181">
        <v>0.1</v>
      </c>
    </row>
    <row r="9" spans="2:11" ht="12.75" x14ac:dyDescent="0.2">
      <c r="B9" s="179" t="s">
        <v>220</v>
      </c>
      <c r="C9" s="180" t="s">
        <v>218</v>
      </c>
      <c r="D9" s="179" t="s">
        <v>216</v>
      </c>
      <c r="E9" s="181">
        <v>0.1</v>
      </c>
      <c r="G9" s="225" t="s">
        <v>28</v>
      </c>
      <c r="H9" s="225"/>
      <c r="I9" s="225"/>
      <c r="J9" s="225"/>
      <c r="K9" s="225"/>
    </row>
    <row r="10" spans="2:11" ht="12.75" x14ac:dyDescent="0.2">
      <c r="B10" s="179" t="s">
        <v>221</v>
      </c>
      <c r="C10" s="180" t="s">
        <v>218</v>
      </c>
      <c r="D10" s="179" t="s">
        <v>216</v>
      </c>
      <c r="E10" s="181">
        <v>0.1</v>
      </c>
      <c r="G10" s="225"/>
      <c r="H10" s="225"/>
      <c r="I10" s="225"/>
      <c r="J10" s="225"/>
      <c r="K10" s="225"/>
    </row>
    <row r="11" spans="2:11" ht="12.75" x14ac:dyDescent="0.2">
      <c r="B11" s="179" t="s">
        <v>222</v>
      </c>
      <c r="C11" s="180" t="s">
        <v>218</v>
      </c>
      <c r="D11" s="179" t="s">
        <v>216</v>
      </c>
      <c r="E11" s="181">
        <v>0.1</v>
      </c>
    </row>
    <row r="12" spans="2:11" ht="12.75" x14ac:dyDescent="0.2">
      <c r="B12" s="179" t="s">
        <v>223</v>
      </c>
      <c r="C12" s="180" t="s">
        <v>218</v>
      </c>
      <c r="D12" s="179" t="s">
        <v>216</v>
      </c>
      <c r="E12" s="181">
        <v>0.1</v>
      </c>
    </row>
    <row r="13" spans="2:11" ht="12.75" x14ac:dyDescent="0.2">
      <c r="B13" s="179" t="s">
        <v>224</v>
      </c>
      <c r="C13" s="180" t="s">
        <v>218</v>
      </c>
      <c r="D13" s="179" t="s">
        <v>216</v>
      </c>
      <c r="E13" s="181">
        <v>0.1</v>
      </c>
    </row>
    <row r="14" spans="2:11" ht="12.75" x14ac:dyDescent="0.2">
      <c r="B14" s="179" t="s">
        <v>225</v>
      </c>
      <c r="C14" s="180" t="s">
        <v>218</v>
      </c>
      <c r="D14" s="179" t="s">
        <v>216</v>
      </c>
      <c r="E14" s="181">
        <v>0.1</v>
      </c>
    </row>
    <row r="15" spans="2:11" ht="12.75" x14ac:dyDescent="0.2">
      <c r="B15" s="179" t="s">
        <v>226</v>
      </c>
      <c r="C15" s="180" t="s">
        <v>218</v>
      </c>
      <c r="D15" s="179" t="s">
        <v>216</v>
      </c>
      <c r="E15" s="181">
        <v>0.1</v>
      </c>
    </row>
    <row r="16" spans="2:11" ht="12.75" x14ac:dyDescent="0.2">
      <c r="B16" s="179" t="s">
        <v>227</v>
      </c>
      <c r="C16" s="180" t="s">
        <v>218</v>
      </c>
      <c r="D16" s="179" t="s">
        <v>216</v>
      </c>
      <c r="E16" s="181">
        <v>0.1</v>
      </c>
    </row>
    <row r="17" spans="2:5" ht="12.75" x14ac:dyDescent="0.2">
      <c r="B17" s="179" t="s">
        <v>228</v>
      </c>
      <c r="C17" s="180" t="s">
        <v>218</v>
      </c>
      <c r="D17" s="179" t="s">
        <v>216</v>
      </c>
      <c r="E17" s="181">
        <v>0.1</v>
      </c>
    </row>
    <row r="18" spans="2:5" ht="12.75" x14ac:dyDescent="0.2">
      <c r="B18" s="179" t="s">
        <v>229</v>
      </c>
      <c r="C18" s="180" t="s">
        <v>218</v>
      </c>
      <c r="D18" s="179" t="s">
        <v>216</v>
      </c>
      <c r="E18" s="181">
        <v>0.1</v>
      </c>
    </row>
    <row r="19" spans="2:5" ht="12.75" x14ac:dyDescent="0.2">
      <c r="B19" s="179" t="s">
        <v>230</v>
      </c>
      <c r="C19" s="180" t="s">
        <v>218</v>
      </c>
      <c r="D19" s="179" t="s">
        <v>216</v>
      </c>
      <c r="E19" s="181">
        <v>0.1</v>
      </c>
    </row>
    <row r="20" spans="2:5" ht="12.75" x14ac:dyDescent="0.2">
      <c r="B20" s="179" t="s">
        <v>231</v>
      </c>
      <c r="C20" s="180" t="s">
        <v>218</v>
      </c>
      <c r="D20" s="179" t="s">
        <v>216</v>
      </c>
      <c r="E20" s="181">
        <v>0.1</v>
      </c>
    </row>
    <row r="21" spans="2:5" ht="12.75" x14ac:dyDescent="0.2">
      <c r="B21" s="179" t="s">
        <v>232</v>
      </c>
      <c r="C21" s="180" t="s">
        <v>218</v>
      </c>
      <c r="D21" s="179" t="s">
        <v>216</v>
      </c>
      <c r="E21" s="181">
        <v>0.1</v>
      </c>
    </row>
    <row r="22" spans="2:5" ht="12.75" x14ac:dyDescent="0.2">
      <c r="B22" s="179" t="s">
        <v>233</v>
      </c>
      <c r="C22" s="180" t="s">
        <v>218</v>
      </c>
      <c r="D22" s="179" t="s">
        <v>216</v>
      </c>
      <c r="E22" s="181">
        <v>0.1</v>
      </c>
    </row>
    <row r="23" spans="2:5" ht="12.75" x14ac:dyDescent="0.2">
      <c r="B23" s="179" t="s">
        <v>234</v>
      </c>
      <c r="C23" s="180" t="s">
        <v>218</v>
      </c>
      <c r="D23" s="179" t="s">
        <v>216</v>
      </c>
      <c r="E23" s="181">
        <v>0.1</v>
      </c>
    </row>
    <row r="24" spans="2:5" ht="12.75" x14ac:dyDescent="0.2">
      <c r="B24" s="179" t="s">
        <v>235</v>
      </c>
      <c r="C24" s="180" t="s">
        <v>218</v>
      </c>
      <c r="D24" s="179" t="s">
        <v>216</v>
      </c>
      <c r="E24" s="181">
        <v>0.1</v>
      </c>
    </row>
    <row r="25" spans="2:5" ht="12.75" x14ac:dyDescent="0.2">
      <c r="B25" s="179" t="s">
        <v>236</v>
      </c>
      <c r="C25" s="180" t="s">
        <v>218</v>
      </c>
      <c r="D25" s="179" t="s">
        <v>216</v>
      </c>
      <c r="E25" s="181">
        <v>0.1</v>
      </c>
    </row>
    <row r="26" spans="2:5" ht="12.75" x14ac:dyDescent="0.2">
      <c r="B26" s="179" t="s">
        <v>237</v>
      </c>
      <c r="C26" s="180" t="s">
        <v>218</v>
      </c>
      <c r="D26" s="179" t="s">
        <v>216</v>
      </c>
      <c r="E26" s="181">
        <v>0.1</v>
      </c>
    </row>
    <row r="27" spans="2:5" ht="12.75" x14ac:dyDescent="0.2">
      <c r="B27" s="179" t="s">
        <v>238</v>
      </c>
      <c r="C27" s="180" t="s">
        <v>218</v>
      </c>
      <c r="D27" s="179" t="s">
        <v>216</v>
      </c>
      <c r="E27" s="181">
        <v>0.1</v>
      </c>
    </row>
    <row r="28" spans="2:5" ht="12.75" x14ac:dyDescent="0.2">
      <c r="B28" s="179" t="s">
        <v>239</v>
      </c>
      <c r="C28" s="180" t="s">
        <v>218</v>
      </c>
      <c r="D28" s="179" t="s">
        <v>216</v>
      </c>
      <c r="E28" s="181">
        <v>0.1</v>
      </c>
    </row>
    <row r="29" spans="2:5" ht="12.75" x14ac:dyDescent="0.2">
      <c r="B29" s="179" t="s">
        <v>240</v>
      </c>
      <c r="C29" s="180" t="s">
        <v>218</v>
      </c>
      <c r="D29" s="179" t="s">
        <v>216</v>
      </c>
      <c r="E29" s="181">
        <v>0.1</v>
      </c>
    </row>
    <row r="30" spans="2:5" ht="12.75" x14ac:dyDescent="0.2">
      <c r="B30" s="179" t="s">
        <v>241</v>
      </c>
      <c r="C30" s="180" t="s">
        <v>218</v>
      </c>
      <c r="D30" s="179" t="s">
        <v>216</v>
      </c>
      <c r="E30" s="181">
        <v>0.1</v>
      </c>
    </row>
    <row r="31" spans="2:5" ht="12.75" x14ac:dyDescent="0.2">
      <c r="B31" s="179" t="s">
        <v>242</v>
      </c>
      <c r="C31" s="180" t="s">
        <v>218</v>
      </c>
      <c r="D31" s="179" t="s">
        <v>216</v>
      </c>
      <c r="E31" s="181">
        <v>0.1</v>
      </c>
    </row>
    <row r="32" spans="2:5" ht="12.75" x14ac:dyDescent="0.2">
      <c r="B32" s="179" t="s">
        <v>243</v>
      </c>
      <c r="C32" s="180" t="s">
        <v>218</v>
      </c>
      <c r="D32" s="179" t="s">
        <v>216</v>
      </c>
      <c r="E32" s="181">
        <v>0.1</v>
      </c>
    </row>
    <row r="33" spans="2:5" ht="12.75" x14ac:dyDescent="0.2">
      <c r="B33" s="179" t="s">
        <v>244</v>
      </c>
      <c r="C33" s="180" t="s">
        <v>218</v>
      </c>
      <c r="D33" s="179" t="s">
        <v>216</v>
      </c>
      <c r="E33" s="181">
        <v>0.1</v>
      </c>
    </row>
    <row r="34" spans="2:5" ht="12.75" x14ac:dyDescent="0.2">
      <c r="B34" s="179" t="s">
        <v>245</v>
      </c>
      <c r="C34" s="180" t="s">
        <v>218</v>
      </c>
      <c r="D34" s="179" t="s">
        <v>216</v>
      </c>
      <c r="E34" s="181">
        <v>0.1</v>
      </c>
    </row>
    <row r="35" spans="2:5" ht="12.75" x14ac:dyDescent="0.2">
      <c r="B35" s="179" t="s">
        <v>246</v>
      </c>
      <c r="C35" s="180" t="s">
        <v>218</v>
      </c>
      <c r="D35" s="179" t="s">
        <v>216</v>
      </c>
      <c r="E35" s="181">
        <v>0.1</v>
      </c>
    </row>
    <row r="36" spans="2:5" ht="12.75" x14ac:dyDescent="0.2">
      <c r="B36" s="179" t="s">
        <v>247</v>
      </c>
      <c r="C36" s="180" t="s">
        <v>218</v>
      </c>
      <c r="D36" s="179" t="s">
        <v>216</v>
      </c>
      <c r="E36" s="181">
        <v>0.1</v>
      </c>
    </row>
    <row r="37" spans="2:5" ht="12.75" x14ac:dyDescent="0.2">
      <c r="B37" s="179" t="s">
        <v>248</v>
      </c>
      <c r="C37" s="180" t="s">
        <v>218</v>
      </c>
      <c r="D37" s="179" t="s">
        <v>216</v>
      </c>
      <c r="E37" s="181">
        <v>0.1</v>
      </c>
    </row>
    <row r="38" spans="2:5" ht="12.75" x14ac:dyDescent="0.2">
      <c r="B38" s="179" t="s">
        <v>249</v>
      </c>
      <c r="C38" s="180" t="s">
        <v>218</v>
      </c>
      <c r="D38" s="179" t="s">
        <v>216</v>
      </c>
      <c r="E38" s="181">
        <v>0.1</v>
      </c>
    </row>
    <row r="39" spans="2:5" ht="12.75" x14ac:dyDescent="0.2">
      <c r="B39" s="179" t="s">
        <v>250</v>
      </c>
      <c r="C39" s="180" t="s">
        <v>218</v>
      </c>
      <c r="D39" s="179" t="s">
        <v>216</v>
      </c>
      <c r="E39" s="181">
        <v>0.1</v>
      </c>
    </row>
    <row r="40" spans="2:5" ht="12.75" x14ac:dyDescent="0.2">
      <c r="B40" s="179" t="s">
        <v>251</v>
      </c>
      <c r="C40" s="180" t="s">
        <v>218</v>
      </c>
      <c r="D40" s="179" t="s">
        <v>216</v>
      </c>
      <c r="E40" s="181">
        <v>0.1</v>
      </c>
    </row>
    <row r="41" spans="2:5" ht="12.75" x14ac:dyDescent="0.2">
      <c r="B41" s="179" t="s">
        <v>252</v>
      </c>
      <c r="C41" s="180" t="s">
        <v>218</v>
      </c>
      <c r="D41" s="179" t="s">
        <v>216</v>
      </c>
      <c r="E41" s="181">
        <v>0.1</v>
      </c>
    </row>
    <row r="42" spans="2:5" ht="12.75" x14ac:dyDescent="0.2">
      <c r="B42" s="179" t="s">
        <v>253</v>
      </c>
      <c r="C42" s="180" t="s">
        <v>218</v>
      </c>
      <c r="D42" s="179" t="s">
        <v>216</v>
      </c>
      <c r="E42" s="181">
        <v>0.1</v>
      </c>
    </row>
    <row r="43" spans="2:5" ht="12.75" x14ac:dyDescent="0.2">
      <c r="B43" s="179" t="s">
        <v>254</v>
      </c>
      <c r="C43" s="180" t="s">
        <v>218</v>
      </c>
      <c r="D43" s="179" t="s">
        <v>216</v>
      </c>
      <c r="E43" s="181">
        <v>0.1</v>
      </c>
    </row>
    <row r="44" spans="2:5" ht="12.75" x14ac:dyDescent="0.2">
      <c r="B44" s="179" t="s">
        <v>255</v>
      </c>
      <c r="C44" s="180" t="s">
        <v>218</v>
      </c>
      <c r="D44" s="179" t="s">
        <v>216</v>
      </c>
      <c r="E44" s="181">
        <v>0.1</v>
      </c>
    </row>
    <row r="45" spans="2:5" ht="12.75" x14ac:dyDescent="0.2">
      <c r="B45" s="179" t="s">
        <v>256</v>
      </c>
      <c r="C45" s="180" t="s">
        <v>218</v>
      </c>
      <c r="D45" s="179" t="s">
        <v>216</v>
      </c>
      <c r="E45" s="181">
        <v>0.1</v>
      </c>
    </row>
    <row r="46" spans="2:5" ht="12.75" x14ac:dyDescent="0.2">
      <c r="B46" s="179" t="s">
        <v>257</v>
      </c>
      <c r="C46" s="180" t="s">
        <v>218</v>
      </c>
      <c r="D46" s="179" t="s">
        <v>216</v>
      </c>
      <c r="E46" s="181">
        <v>0.1</v>
      </c>
    </row>
    <row r="47" spans="2:5" ht="12.75" x14ac:dyDescent="0.2">
      <c r="B47" s="179" t="s">
        <v>258</v>
      </c>
      <c r="C47" s="180" t="s">
        <v>218</v>
      </c>
      <c r="D47" s="179" t="s">
        <v>216</v>
      </c>
      <c r="E47" s="181">
        <v>0.1</v>
      </c>
    </row>
    <row r="48" spans="2:5" ht="12.75" x14ac:dyDescent="0.2">
      <c r="B48" s="179" t="s">
        <v>259</v>
      </c>
      <c r="C48" s="180" t="s">
        <v>218</v>
      </c>
      <c r="D48" s="179" t="s">
        <v>216</v>
      </c>
      <c r="E48" s="181">
        <v>0.1</v>
      </c>
    </row>
    <row r="49" spans="2:5" ht="12.75" x14ac:dyDescent="0.2">
      <c r="B49" s="179" t="s">
        <v>260</v>
      </c>
      <c r="C49" s="180" t="s">
        <v>218</v>
      </c>
      <c r="D49" s="179" t="s">
        <v>216</v>
      </c>
      <c r="E49" s="181">
        <v>0.1</v>
      </c>
    </row>
    <row r="50" spans="2:5" ht="12.75" x14ac:dyDescent="0.2">
      <c r="B50" s="179" t="s">
        <v>261</v>
      </c>
      <c r="C50" s="180" t="s">
        <v>218</v>
      </c>
      <c r="D50" s="179" t="s">
        <v>216</v>
      </c>
      <c r="E50" s="181">
        <v>0.1</v>
      </c>
    </row>
    <row r="51" spans="2:5" ht="12.75" x14ac:dyDescent="0.2">
      <c r="B51" s="179" t="s">
        <v>262</v>
      </c>
      <c r="C51" s="180" t="s">
        <v>218</v>
      </c>
      <c r="D51" s="179" t="s">
        <v>216</v>
      </c>
      <c r="E51" s="181">
        <v>0.1</v>
      </c>
    </row>
    <row r="52" spans="2:5" ht="12.75" x14ac:dyDescent="0.2">
      <c r="B52" s="179" t="s">
        <v>263</v>
      </c>
      <c r="C52" s="180" t="s">
        <v>218</v>
      </c>
      <c r="D52" s="179" t="s">
        <v>216</v>
      </c>
      <c r="E52" s="181">
        <v>0.1</v>
      </c>
    </row>
    <row r="53" spans="2:5" ht="12.75" x14ac:dyDescent="0.2">
      <c r="B53" s="179" t="s">
        <v>264</v>
      </c>
      <c r="C53" s="180" t="s">
        <v>218</v>
      </c>
      <c r="D53" s="179" t="s">
        <v>216</v>
      </c>
      <c r="E53" s="181">
        <v>0.1</v>
      </c>
    </row>
    <row r="54" spans="2:5" ht="12.75" x14ac:dyDescent="0.2">
      <c r="B54" s="179" t="s">
        <v>265</v>
      </c>
      <c r="C54" s="180" t="s">
        <v>218</v>
      </c>
      <c r="D54" s="179" t="s">
        <v>216</v>
      </c>
      <c r="E54" s="181">
        <v>0.1</v>
      </c>
    </row>
    <row r="55" spans="2:5" ht="12.75" x14ac:dyDescent="0.2">
      <c r="B55" s="179" t="s">
        <v>266</v>
      </c>
      <c r="C55" s="180" t="s">
        <v>218</v>
      </c>
      <c r="D55" s="179" t="s">
        <v>216</v>
      </c>
      <c r="E55" s="181">
        <v>0.1</v>
      </c>
    </row>
    <row r="56" spans="2:5" ht="12.75" x14ac:dyDescent="0.2">
      <c r="B56" s="179" t="s">
        <v>267</v>
      </c>
      <c r="C56" s="180" t="s">
        <v>218</v>
      </c>
      <c r="D56" s="179" t="s">
        <v>216</v>
      </c>
      <c r="E56" s="181">
        <v>0.1</v>
      </c>
    </row>
    <row r="57" spans="2:5" ht="12.75" x14ac:dyDescent="0.2">
      <c r="B57" s="179" t="s">
        <v>268</v>
      </c>
      <c r="C57" s="180" t="s">
        <v>218</v>
      </c>
      <c r="D57" s="179" t="s">
        <v>216</v>
      </c>
      <c r="E57" s="181">
        <v>0.1</v>
      </c>
    </row>
    <row r="58" spans="2:5" ht="12.75" x14ac:dyDescent="0.2">
      <c r="B58" s="179" t="s">
        <v>269</v>
      </c>
      <c r="C58" s="180" t="s">
        <v>218</v>
      </c>
      <c r="D58" s="179" t="s">
        <v>216</v>
      </c>
      <c r="E58" s="181">
        <v>0.1</v>
      </c>
    </row>
    <row r="59" spans="2:5" ht="12.75" x14ac:dyDescent="0.2">
      <c r="B59" s="179" t="s">
        <v>270</v>
      </c>
      <c r="C59" s="180" t="s">
        <v>218</v>
      </c>
      <c r="D59" s="179" t="s">
        <v>216</v>
      </c>
      <c r="E59" s="181">
        <v>0.1</v>
      </c>
    </row>
    <row r="60" spans="2:5" ht="12.75" x14ac:dyDescent="0.2">
      <c r="B60" s="179" t="s">
        <v>271</v>
      </c>
      <c r="C60" s="180" t="s">
        <v>218</v>
      </c>
      <c r="D60" s="179" t="s">
        <v>216</v>
      </c>
      <c r="E60" s="181">
        <v>0.1</v>
      </c>
    </row>
    <row r="61" spans="2:5" ht="12.75" x14ac:dyDescent="0.2">
      <c r="B61" s="179" t="s">
        <v>272</v>
      </c>
      <c r="C61" s="180" t="s">
        <v>218</v>
      </c>
      <c r="D61" s="179" t="s">
        <v>216</v>
      </c>
      <c r="E61" s="181">
        <v>0.1</v>
      </c>
    </row>
    <row r="62" spans="2:5" ht="12.75" x14ac:dyDescent="0.2">
      <c r="B62" s="179" t="s">
        <v>273</v>
      </c>
      <c r="C62" s="180" t="s">
        <v>218</v>
      </c>
      <c r="D62" s="179" t="s">
        <v>216</v>
      </c>
      <c r="E62" s="181">
        <v>0.1</v>
      </c>
    </row>
    <row r="63" spans="2:5" ht="12.75" x14ac:dyDescent="0.2">
      <c r="B63" s="179" t="s">
        <v>274</v>
      </c>
      <c r="C63" s="180" t="s">
        <v>218</v>
      </c>
      <c r="D63" s="179" t="s">
        <v>216</v>
      </c>
      <c r="E63" s="181">
        <v>0.1</v>
      </c>
    </row>
    <row r="64" spans="2:5" ht="12.75" x14ac:dyDescent="0.2">
      <c r="B64" s="179" t="s">
        <v>275</v>
      </c>
      <c r="C64" s="180" t="s">
        <v>218</v>
      </c>
      <c r="D64" s="179" t="s">
        <v>216</v>
      </c>
      <c r="E64" s="181">
        <v>0.1</v>
      </c>
    </row>
    <row r="65" spans="2:5" ht="12.75" x14ac:dyDescent="0.2">
      <c r="B65" s="179" t="s">
        <v>276</v>
      </c>
      <c r="C65" s="180" t="s">
        <v>218</v>
      </c>
      <c r="D65" s="179" t="s">
        <v>216</v>
      </c>
      <c r="E65" s="181">
        <v>0.1</v>
      </c>
    </row>
    <row r="66" spans="2:5" ht="12.75" x14ac:dyDescent="0.2">
      <c r="B66" s="179" t="s">
        <v>277</v>
      </c>
      <c r="C66" s="180" t="s">
        <v>218</v>
      </c>
      <c r="D66" s="179" t="s">
        <v>216</v>
      </c>
      <c r="E66" s="181">
        <v>0.1</v>
      </c>
    </row>
    <row r="67" spans="2:5" ht="12.75" x14ac:dyDescent="0.2">
      <c r="B67" s="179" t="s">
        <v>278</v>
      </c>
      <c r="C67" s="180" t="s">
        <v>218</v>
      </c>
      <c r="D67" s="179" t="s">
        <v>216</v>
      </c>
      <c r="E67" s="181">
        <v>0.1</v>
      </c>
    </row>
    <row r="68" spans="2:5" ht="12.75" x14ac:dyDescent="0.2">
      <c r="B68" s="179" t="s">
        <v>279</v>
      </c>
      <c r="C68" s="180" t="s">
        <v>218</v>
      </c>
      <c r="D68" s="179" t="s">
        <v>216</v>
      </c>
      <c r="E68" s="181">
        <v>0.1</v>
      </c>
    </row>
    <row r="69" spans="2:5" ht="12.75" x14ac:dyDescent="0.2">
      <c r="B69" s="179" t="s">
        <v>280</v>
      </c>
      <c r="C69" s="180" t="s">
        <v>218</v>
      </c>
      <c r="D69" s="179" t="s">
        <v>216</v>
      </c>
      <c r="E69" s="181">
        <v>0.1</v>
      </c>
    </row>
    <row r="70" spans="2:5" ht="12.75" x14ac:dyDescent="0.2">
      <c r="B70" s="179" t="s">
        <v>281</v>
      </c>
      <c r="C70" s="180" t="s">
        <v>218</v>
      </c>
      <c r="D70" s="179" t="s">
        <v>216</v>
      </c>
      <c r="E70" s="181">
        <v>0.1</v>
      </c>
    </row>
    <row r="71" spans="2:5" ht="12.75" x14ac:dyDescent="0.2">
      <c r="B71" s="179" t="s">
        <v>282</v>
      </c>
      <c r="C71" s="180" t="s">
        <v>283</v>
      </c>
      <c r="D71" s="179" t="s">
        <v>214</v>
      </c>
      <c r="E71" s="181">
        <v>0.5</v>
      </c>
    </row>
    <row r="72" spans="2:5" ht="12.75" x14ac:dyDescent="0.2">
      <c r="B72" s="179" t="s">
        <v>284</v>
      </c>
      <c r="C72" s="180" t="s">
        <v>283</v>
      </c>
      <c r="D72" s="179" t="s">
        <v>216</v>
      </c>
      <c r="E72" s="181">
        <v>0.5</v>
      </c>
    </row>
    <row r="73" spans="2:5" ht="12.75" x14ac:dyDescent="0.2">
      <c r="B73" s="179" t="s">
        <v>285</v>
      </c>
      <c r="C73" s="180" t="s">
        <v>286</v>
      </c>
      <c r="D73" s="179" t="s">
        <v>214</v>
      </c>
      <c r="E73" s="181">
        <v>0.5</v>
      </c>
    </row>
    <row r="74" spans="2:5" ht="12.75" x14ac:dyDescent="0.2">
      <c r="B74" s="179" t="s">
        <v>287</v>
      </c>
      <c r="C74" s="180" t="s">
        <v>288</v>
      </c>
      <c r="D74" s="179" t="s">
        <v>214</v>
      </c>
      <c r="E74" s="181">
        <v>0.5</v>
      </c>
    </row>
    <row r="75" spans="2:5" ht="12.75" x14ac:dyDescent="0.2">
      <c r="B75" s="179" t="s">
        <v>289</v>
      </c>
      <c r="C75" s="180" t="s">
        <v>288</v>
      </c>
      <c r="D75" s="179" t="s">
        <v>214</v>
      </c>
      <c r="E75" s="181">
        <v>0.5</v>
      </c>
    </row>
    <row r="76" spans="2:5" ht="12.75" x14ac:dyDescent="0.2">
      <c r="B76" s="179" t="s">
        <v>290</v>
      </c>
      <c r="C76" s="180" t="s">
        <v>291</v>
      </c>
      <c r="D76" s="179" t="s">
        <v>214</v>
      </c>
      <c r="E76" s="181">
        <v>0.5</v>
      </c>
    </row>
    <row r="77" spans="2:5" ht="12.75" x14ac:dyDescent="0.2">
      <c r="B77" s="179" t="s">
        <v>292</v>
      </c>
      <c r="C77" s="180" t="s">
        <v>293</v>
      </c>
      <c r="D77" s="179" t="s">
        <v>216</v>
      </c>
      <c r="E77" s="181">
        <v>0.5</v>
      </c>
    </row>
    <row r="78" spans="2:5" ht="12.75" x14ac:dyDescent="0.2">
      <c r="B78" s="179" t="s">
        <v>294</v>
      </c>
      <c r="C78" s="180" t="s">
        <v>293</v>
      </c>
      <c r="D78" s="179" t="s">
        <v>216</v>
      </c>
      <c r="E78" s="181">
        <v>0.5</v>
      </c>
    </row>
    <row r="79" spans="2:5" ht="12.75" x14ac:dyDescent="0.2">
      <c r="B79" s="179" t="s">
        <v>295</v>
      </c>
      <c r="C79" s="180" t="s">
        <v>293</v>
      </c>
      <c r="D79" s="179" t="s">
        <v>216</v>
      </c>
      <c r="E79" s="181">
        <v>0.5</v>
      </c>
    </row>
    <row r="80" spans="2:5" ht="12.75" x14ac:dyDescent="0.2">
      <c r="B80" s="179" t="s">
        <v>296</v>
      </c>
      <c r="C80" s="180" t="s">
        <v>293</v>
      </c>
      <c r="D80" s="179" t="s">
        <v>216</v>
      </c>
      <c r="E80" s="181">
        <v>0.5</v>
      </c>
    </row>
    <row r="81" spans="2:5" ht="12.75" x14ac:dyDescent="0.2">
      <c r="B81" s="179" t="s">
        <v>297</v>
      </c>
      <c r="C81" s="180" t="s">
        <v>293</v>
      </c>
      <c r="D81" s="179" t="s">
        <v>216</v>
      </c>
      <c r="E81" s="181">
        <v>0.5</v>
      </c>
    </row>
    <row r="82" spans="2:5" ht="12.75" x14ac:dyDescent="0.2">
      <c r="B82" s="179" t="s">
        <v>298</v>
      </c>
      <c r="C82" s="180" t="s">
        <v>293</v>
      </c>
      <c r="D82" s="179" t="s">
        <v>216</v>
      </c>
      <c r="E82" s="181">
        <v>0.5</v>
      </c>
    </row>
    <row r="83" spans="2:5" ht="12.75" x14ac:dyDescent="0.2">
      <c r="B83" s="179" t="s">
        <v>299</v>
      </c>
      <c r="C83" s="180" t="s">
        <v>293</v>
      </c>
      <c r="D83" s="179" t="s">
        <v>216</v>
      </c>
      <c r="E83" s="181">
        <v>0.5</v>
      </c>
    </row>
    <row r="84" spans="2:5" ht="12.75" x14ac:dyDescent="0.2">
      <c r="B84" s="179" t="s">
        <v>300</v>
      </c>
      <c r="C84" s="180" t="s">
        <v>293</v>
      </c>
      <c r="D84" s="179" t="s">
        <v>216</v>
      </c>
      <c r="E84" s="181">
        <v>0.5</v>
      </c>
    </row>
    <row r="85" spans="2:5" ht="12.75" x14ac:dyDescent="0.2">
      <c r="B85" s="179" t="s">
        <v>301</v>
      </c>
      <c r="C85" s="180" t="s">
        <v>293</v>
      </c>
      <c r="D85" s="179" t="s">
        <v>216</v>
      </c>
      <c r="E85" s="181">
        <v>0.5</v>
      </c>
    </row>
    <row r="86" spans="2:5" ht="12.75" x14ac:dyDescent="0.2">
      <c r="B86" s="179" t="s">
        <v>302</v>
      </c>
      <c r="C86" s="180" t="s">
        <v>293</v>
      </c>
      <c r="D86" s="179" t="s">
        <v>216</v>
      </c>
      <c r="E86" s="181">
        <v>0.5</v>
      </c>
    </row>
    <row r="87" spans="2:5" ht="12.75" x14ac:dyDescent="0.2">
      <c r="B87" s="179" t="s">
        <v>303</v>
      </c>
      <c r="C87" s="180" t="s">
        <v>293</v>
      </c>
      <c r="D87" s="179" t="s">
        <v>216</v>
      </c>
      <c r="E87" s="181">
        <v>0.5</v>
      </c>
    </row>
    <row r="88" spans="2:5" ht="12.75" x14ac:dyDescent="0.2">
      <c r="B88" s="179" t="s">
        <v>304</v>
      </c>
      <c r="C88" s="180" t="s">
        <v>305</v>
      </c>
      <c r="D88" s="179" t="s">
        <v>216</v>
      </c>
      <c r="E88" s="181">
        <v>0.5</v>
      </c>
    </row>
    <row r="89" spans="2:5" ht="12.75" x14ac:dyDescent="0.2">
      <c r="B89" s="179" t="s">
        <v>306</v>
      </c>
      <c r="C89" s="180" t="s">
        <v>305</v>
      </c>
      <c r="D89" s="179" t="s">
        <v>216</v>
      </c>
      <c r="E89" s="181">
        <v>0.5</v>
      </c>
    </row>
    <row r="90" spans="2:5" ht="12.75" x14ac:dyDescent="0.2">
      <c r="B90" s="179" t="s">
        <v>307</v>
      </c>
      <c r="C90" s="180" t="s">
        <v>305</v>
      </c>
      <c r="D90" s="179" t="s">
        <v>216</v>
      </c>
      <c r="E90" s="181">
        <v>0.5</v>
      </c>
    </row>
    <row r="91" spans="2:5" ht="12.75" x14ac:dyDescent="0.2">
      <c r="B91" s="179" t="s">
        <v>308</v>
      </c>
      <c r="C91" s="180" t="s">
        <v>305</v>
      </c>
      <c r="D91" s="179" t="s">
        <v>216</v>
      </c>
      <c r="E91" s="181">
        <v>0.5</v>
      </c>
    </row>
    <row r="92" spans="2:5" ht="12.75" x14ac:dyDescent="0.2">
      <c r="B92" s="179" t="s">
        <v>309</v>
      </c>
      <c r="C92" s="180" t="s">
        <v>305</v>
      </c>
      <c r="D92" s="179" t="s">
        <v>216</v>
      </c>
      <c r="E92" s="181">
        <v>0.5</v>
      </c>
    </row>
    <row r="93" spans="2:5" ht="12.75" x14ac:dyDescent="0.2">
      <c r="B93" s="179" t="s">
        <v>310</v>
      </c>
      <c r="C93" s="180" t="s">
        <v>305</v>
      </c>
      <c r="D93" s="179" t="s">
        <v>216</v>
      </c>
      <c r="E93" s="181">
        <v>0.5</v>
      </c>
    </row>
    <row r="94" spans="2:5" ht="12.75" x14ac:dyDescent="0.2">
      <c r="B94" s="179" t="s">
        <v>311</v>
      </c>
      <c r="C94" s="180" t="s">
        <v>305</v>
      </c>
      <c r="D94" s="179" t="s">
        <v>216</v>
      </c>
      <c r="E94" s="181">
        <v>0.5</v>
      </c>
    </row>
    <row r="95" spans="2:5" ht="12.75" x14ac:dyDescent="0.2">
      <c r="B95" s="179" t="s">
        <v>312</v>
      </c>
      <c r="C95" s="180" t="s">
        <v>305</v>
      </c>
      <c r="D95" s="179" t="s">
        <v>216</v>
      </c>
      <c r="E95" s="181">
        <v>0.5</v>
      </c>
    </row>
    <row r="96" spans="2:5" ht="12.75" x14ac:dyDescent="0.2">
      <c r="B96" s="179" t="s">
        <v>313</v>
      </c>
      <c r="C96" s="180" t="s">
        <v>305</v>
      </c>
      <c r="D96" s="179" t="s">
        <v>216</v>
      </c>
      <c r="E96" s="181">
        <v>0.5</v>
      </c>
    </row>
    <row r="97" spans="2:5" ht="12.75" x14ac:dyDescent="0.2">
      <c r="B97" s="179" t="s">
        <v>303</v>
      </c>
      <c r="C97" s="180" t="s">
        <v>305</v>
      </c>
      <c r="D97" s="179" t="s">
        <v>216</v>
      </c>
      <c r="E97" s="181">
        <v>0.5</v>
      </c>
    </row>
    <row r="98" spans="2:5" ht="12.75" x14ac:dyDescent="0.2">
      <c r="B98" s="179" t="s">
        <v>314</v>
      </c>
      <c r="C98" s="180" t="s">
        <v>305</v>
      </c>
      <c r="D98" s="179" t="s">
        <v>216</v>
      </c>
      <c r="E98" s="181">
        <v>0.5</v>
      </c>
    </row>
    <row r="99" spans="2:5" ht="12.75" x14ac:dyDescent="0.2">
      <c r="B99" s="179" t="s">
        <v>315</v>
      </c>
      <c r="C99" s="180" t="s">
        <v>316</v>
      </c>
      <c r="D99" s="179" t="s">
        <v>214</v>
      </c>
      <c r="E99" s="181">
        <v>0.5</v>
      </c>
    </row>
    <row r="100" spans="2:5" ht="12.75" x14ac:dyDescent="0.2">
      <c r="B100" s="179" t="s">
        <v>317</v>
      </c>
      <c r="C100" s="180" t="s">
        <v>318</v>
      </c>
      <c r="D100" s="179" t="s">
        <v>214</v>
      </c>
      <c r="E100" s="181">
        <v>0.5</v>
      </c>
    </row>
    <row r="101" spans="2:5" ht="12.75" x14ac:dyDescent="0.2">
      <c r="B101" s="179" t="s">
        <v>319</v>
      </c>
      <c r="C101" s="180" t="s">
        <v>318</v>
      </c>
      <c r="D101" s="179" t="s">
        <v>216</v>
      </c>
      <c r="E101" s="181">
        <v>0.5</v>
      </c>
    </row>
    <row r="102" spans="2:5" ht="12.75" x14ac:dyDescent="0.2">
      <c r="B102" s="179" t="s">
        <v>320</v>
      </c>
      <c r="C102" s="180" t="s">
        <v>318</v>
      </c>
      <c r="D102" s="179" t="s">
        <v>216</v>
      </c>
      <c r="E102" s="181">
        <v>0.5</v>
      </c>
    </row>
    <row r="103" spans="2:5" ht="12.75" x14ac:dyDescent="0.2">
      <c r="B103" s="179" t="s">
        <v>321</v>
      </c>
      <c r="C103" s="180" t="s">
        <v>318</v>
      </c>
      <c r="D103" s="179" t="s">
        <v>216</v>
      </c>
      <c r="E103" s="181">
        <v>0.5</v>
      </c>
    </row>
    <row r="104" spans="2:5" ht="12.75" x14ac:dyDescent="0.2">
      <c r="B104" s="179" t="s">
        <v>322</v>
      </c>
      <c r="C104" s="180" t="s">
        <v>323</v>
      </c>
      <c r="D104" s="179" t="s">
        <v>214</v>
      </c>
      <c r="E104" s="181">
        <v>0.5</v>
      </c>
    </row>
    <row r="105" spans="2:5" ht="12.75" x14ac:dyDescent="0.2">
      <c r="B105" s="179" t="s">
        <v>324</v>
      </c>
      <c r="C105" s="180" t="s">
        <v>323</v>
      </c>
      <c r="D105" s="179" t="s">
        <v>216</v>
      </c>
      <c r="E105" s="181">
        <v>0.5</v>
      </c>
    </row>
    <row r="106" spans="2:5" ht="12.75" x14ac:dyDescent="0.2">
      <c r="B106" s="179" t="s">
        <v>325</v>
      </c>
      <c r="C106" s="180" t="s">
        <v>323</v>
      </c>
      <c r="D106" s="179" t="s">
        <v>216</v>
      </c>
      <c r="E106" s="181">
        <v>0.5</v>
      </c>
    </row>
    <row r="107" spans="2:5" ht="12.75" x14ac:dyDescent="0.2">
      <c r="B107" s="179" t="s">
        <v>326</v>
      </c>
      <c r="C107" s="180" t="s">
        <v>327</v>
      </c>
      <c r="D107" s="179" t="s">
        <v>214</v>
      </c>
      <c r="E107" s="181">
        <v>0.5</v>
      </c>
    </row>
    <row r="108" spans="2:5" ht="12.75" x14ac:dyDescent="0.2">
      <c r="B108" s="179" t="s">
        <v>328</v>
      </c>
      <c r="C108" s="180" t="s">
        <v>329</v>
      </c>
      <c r="D108" s="179" t="s">
        <v>214</v>
      </c>
      <c r="E108" s="181">
        <v>0.5</v>
      </c>
    </row>
    <row r="109" spans="2:5" ht="12.75" x14ac:dyDescent="0.2">
      <c r="B109" s="179" t="s">
        <v>330</v>
      </c>
      <c r="C109" s="180" t="s">
        <v>329</v>
      </c>
      <c r="D109" s="179" t="s">
        <v>216</v>
      </c>
      <c r="E109" s="181">
        <v>0.5</v>
      </c>
    </row>
    <row r="110" spans="2:5" ht="12.75" x14ac:dyDescent="0.2">
      <c r="B110" s="179" t="s">
        <v>331</v>
      </c>
      <c r="C110" s="180" t="s">
        <v>329</v>
      </c>
      <c r="D110" s="179" t="s">
        <v>216</v>
      </c>
      <c r="E110" s="181">
        <v>0.5</v>
      </c>
    </row>
    <row r="111" spans="2:5" ht="12.75" x14ac:dyDescent="0.2">
      <c r="B111" s="179" t="s">
        <v>332</v>
      </c>
      <c r="C111" s="180" t="s">
        <v>329</v>
      </c>
      <c r="D111" s="179" t="s">
        <v>216</v>
      </c>
      <c r="E111" s="181">
        <v>0.5</v>
      </c>
    </row>
    <row r="112" spans="2:5" ht="12.75" x14ac:dyDescent="0.2">
      <c r="B112" s="179" t="s">
        <v>333</v>
      </c>
      <c r="C112" s="180" t="s">
        <v>329</v>
      </c>
      <c r="D112" s="179" t="s">
        <v>216</v>
      </c>
      <c r="E112" s="181">
        <v>0.5</v>
      </c>
    </row>
    <row r="113" spans="2:5" ht="12.75" x14ac:dyDescent="0.2">
      <c r="B113" s="179" t="s">
        <v>334</v>
      </c>
      <c r="C113" s="180" t="s">
        <v>329</v>
      </c>
      <c r="D113" s="179" t="s">
        <v>216</v>
      </c>
      <c r="E113" s="181">
        <v>0.5</v>
      </c>
    </row>
    <row r="114" spans="2:5" ht="12.75" x14ac:dyDescent="0.2">
      <c r="B114" s="179" t="s">
        <v>335</v>
      </c>
      <c r="C114" s="180" t="s">
        <v>329</v>
      </c>
      <c r="D114" s="179" t="s">
        <v>216</v>
      </c>
      <c r="E114" s="181">
        <v>0.5</v>
      </c>
    </row>
    <row r="115" spans="2:5" ht="12.75" x14ac:dyDescent="0.2">
      <c r="B115" s="179" t="s">
        <v>336</v>
      </c>
      <c r="C115" s="180" t="s">
        <v>329</v>
      </c>
      <c r="D115" s="179" t="s">
        <v>216</v>
      </c>
      <c r="E115" s="181">
        <v>0.5</v>
      </c>
    </row>
    <row r="116" spans="2:5" ht="12.75" x14ac:dyDescent="0.2">
      <c r="B116" s="179" t="s">
        <v>337</v>
      </c>
      <c r="C116" s="180" t="s">
        <v>338</v>
      </c>
      <c r="D116" s="179" t="s">
        <v>214</v>
      </c>
      <c r="E116" s="181">
        <v>0.5</v>
      </c>
    </row>
    <row r="117" spans="2:5" ht="12.75" x14ac:dyDescent="0.2">
      <c r="B117" s="179" t="s">
        <v>339</v>
      </c>
      <c r="C117" s="180" t="s">
        <v>338</v>
      </c>
      <c r="D117" s="179" t="s">
        <v>216</v>
      </c>
      <c r="E117" s="181">
        <v>0.5</v>
      </c>
    </row>
    <row r="118" spans="2:5" ht="12.75" x14ac:dyDescent="0.2">
      <c r="B118" s="179" t="s">
        <v>340</v>
      </c>
      <c r="C118" s="180" t="s">
        <v>338</v>
      </c>
      <c r="D118" s="179" t="s">
        <v>216</v>
      </c>
      <c r="E118" s="181">
        <v>0.5</v>
      </c>
    </row>
    <row r="119" spans="2:5" ht="12.75" x14ac:dyDescent="0.2">
      <c r="B119" s="179" t="s">
        <v>341</v>
      </c>
      <c r="C119" s="180" t="s">
        <v>338</v>
      </c>
      <c r="D119" s="179" t="s">
        <v>216</v>
      </c>
      <c r="E119" s="181">
        <v>0.5</v>
      </c>
    </row>
    <row r="120" spans="2:5" ht="12.75" x14ac:dyDescent="0.2">
      <c r="B120" s="179" t="s">
        <v>342</v>
      </c>
      <c r="C120" s="180" t="s">
        <v>338</v>
      </c>
      <c r="D120" s="179" t="s">
        <v>216</v>
      </c>
      <c r="E120" s="181">
        <v>0.5</v>
      </c>
    </row>
    <row r="121" spans="2:5" ht="12.75" x14ac:dyDescent="0.2">
      <c r="B121" s="179" t="s">
        <v>343</v>
      </c>
      <c r="C121" s="180" t="s">
        <v>338</v>
      </c>
      <c r="D121" s="179" t="s">
        <v>216</v>
      </c>
      <c r="E121" s="181">
        <v>0.5</v>
      </c>
    </row>
    <row r="122" spans="2:5" ht="12.75" x14ac:dyDescent="0.2">
      <c r="B122" s="179" t="s">
        <v>344</v>
      </c>
      <c r="C122" s="180" t="s">
        <v>338</v>
      </c>
      <c r="D122" s="179" t="s">
        <v>216</v>
      </c>
      <c r="E122" s="181">
        <v>0.5</v>
      </c>
    </row>
    <row r="123" spans="2:5" ht="12.75" x14ac:dyDescent="0.2">
      <c r="B123" s="179" t="s">
        <v>345</v>
      </c>
      <c r="C123" s="180" t="s">
        <v>338</v>
      </c>
      <c r="D123" s="179" t="s">
        <v>216</v>
      </c>
      <c r="E123" s="181">
        <v>0.5</v>
      </c>
    </row>
    <row r="124" spans="2:5" ht="12.75" x14ac:dyDescent="0.2">
      <c r="B124" s="179" t="s">
        <v>346</v>
      </c>
      <c r="C124" s="180" t="s">
        <v>338</v>
      </c>
      <c r="D124" s="179" t="s">
        <v>216</v>
      </c>
      <c r="E124" s="181">
        <v>0.5</v>
      </c>
    </row>
    <row r="125" spans="2:5" ht="12.75" x14ac:dyDescent="0.2">
      <c r="B125" s="179" t="s">
        <v>347</v>
      </c>
      <c r="C125" s="180" t="s">
        <v>338</v>
      </c>
      <c r="D125" s="179" t="s">
        <v>216</v>
      </c>
      <c r="E125" s="181">
        <v>0.5</v>
      </c>
    </row>
    <row r="126" spans="2:5" ht="12.75" x14ac:dyDescent="0.2">
      <c r="B126" s="179" t="s">
        <v>348</v>
      </c>
      <c r="C126" s="180" t="s">
        <v>338</v>
      </c>
      <c r="D126" s="179" t="s">
        <v>216</v>
      </c>
      <c r="E126" s="181">
        <v>0.5</v>
      </c>
    </row>
    <row r="127" spans="2:5" ht="12.75" x14ac:dyDescent="0.2">
      <c r="B127" s="179" t="s">
        <v>349</v>
      </c>
      <c r="C127" s="180" t="s">
        <v>338</v>
      </c>
      <c r="D127" s="179" t="s">
        <v>216</v>
      </c>
      <c r="E127" s="181">
        <v>0.5</v>
      </c>
    </row>
    <row r="128" spans="2:5" ht="12.75" x14ac:dyDescent="0.2">
      <c r="B128" s="179" t="s">
        <v>350</v>
      </c>
      <c r="C128" s="180" t="s">
        <v>338</v>
      </c>
      <c r="D128" s="179" t="s">
        <v>216</v>
      </c>
      <c r="E128" s="181">
        <v>0.5</v>
      </c>
    </row>
    <row r="129" spans="2:5" ht="12.75" x14ac:dyDescent="0.2">
      <c r="B129" s="179" t="s">
        <v>351</v>
      </c>
      <c r="C129" s="180" t="s">
        <v>338</v>
      </c>
      <c r="D129" s="179" t="s">
        <v>216</v>
      </c>
      <c r="E129" s="181">
        <v>0.5</v>
      </c>
    </row>
    <row r="130" spans="2:5" ht="12.75" x14ac:dyDescent="0.2">
      <c r="B130" s="179" t="s">
        <v>352</v>
      </c>
      <c r="C130" s="180" t="s">
        <v>338</v>
      </c>
      <c r="D130" s="179" t="s">
        <v>216</v>
      </c>
      <c r="E130" s="181">
        <v>0.5</v>
      </c>
    </row>
    <row r="131" spans="2:5" ht="12.75" x14ac:dyDescent="0.2">
      <c r="B131" s="179" t="s">
        <v>353</v>
      </c>
      <c r="C131" s="180" t="s">
        <v>338</v>
      </c>
      <c r="D131" s="179" t="s">
        <v>216</v>
      </c>
      <c r="E131" s="181">
        <v>0.5</v>
      </c>
    </row>
    <row r="132" spans="2:5" ht="12.75" x14ac:dyDescent="0.2">
      <c r="B132" s="179" t="s">
        <v>354</v>
      </c>
      <c r="C132" s="180" t="s">
        <v>338</v>
      </c>
      <c r="D132" s="179" t="s">
        <v>216</v>
      </c>
      <c r="E132" s="181">
        <v>0.5</v>
      </c>
    </row>
    <row r="133" spans="2:5" ht="12.75" x14ac:dyDescent="0.2">
      <c r="B133" s="179" t="s">
        <v>355</v>
      </c>
      <c r="C133" s="180" t="s">
        <v>338</v>
      </c>
      <c r="D133" s="179" t="s">
        <v>216</v>
      </c>
      <c r="E133" s="181">
        <v>0.5</v>
      </c>
    </row>
    <row r="134" spans="2:5" ht="12.75" x14ac:dyDescent="0.2">
      <c r="B134" s="179" t="s">
        <v>356</v>
      </c>
      <c r="C134" s="180" t="s">
        <v>338</v>
      </c>
      <c r="D134" s="179" t="s">
        <v>216</v>
      </c>
      <c r="E134" s="181">
        <v>0.5</v>
      </c>
    </row>
    <row r="135" spans="2:5" ht="12.75" x14ac:dyDescent="0.2">
      <c r="B135" s="179" t="s">
        <v>357</v>
      </c>
      <c r="C135" s="180" t="s">
        <v>338</v>
      </c>
      <c r="D135" s="179" t="s">
        <v>216</v>
      </c>
      <c r="E135" s="181">
        <v>0.5</v>
      </c>
    </row>
    <row r="136" spans="2:5" ht="12.75" x14ac:dyDescent="0.2">
      <c r="B136" s="179" t="s">
        <v>358</v>
      </c>
      <c r="C136" s="180" t="s">
        <v>338</v>
      </c>
      <c r="D136" s="179" t="s">
        <v>216</v>
      </c>
      <c r="E136" s="181">
        <v>0.5</v>
      </c>
    </row>
    <row r="137" spans="2:5" ht="12.75" x14ac:dyDescent="0.2">
      <c r="B137" s="179" t="s">
        <v>359</v>
      </c>
      <c r="C137" s="180" t="s">
        <v>338</v>
      </c>
      <c r="D137" s="179" t="s">
        <v>216</v>
      </c>
      <c r="E137" s="181">
        <v>0.5</v>
      </c>
    </row>
    <row r="138" spans="2:5" ht="12.75" x14ac:dyDescent="0.2">
      <c r="B138" s="179" t="s">
        <v>360</v>
      </c>
      <c r="C138" s="180" t="s">
        <v>338</v>
      </c>
      <c r="D138" s="179" t="s">
        <v>216</v>
      </c>
      <c r="E138" s="181">
        <v>0.5</v>
      </c>
    </row>
    <row r="139" spans="2:5" ht="12.75" x14ac:dyDescent="0.2">
      <c r="B139" s="179" t="s">
        <v>361</v>
      </c>
      <c r="C139" s="180" t="s">
        <v>338</v>
      </c>
      <c r="D139" s="179" t="s">
        <v>216</v>
      </c>
      <c r="E139" s="181">
        <v>0.5</v>
      </c>
    </row>
    <row r="140" spans="2:5" ht="12.75" x14ac:dyDescent="0.2">
      <c r="B140" s="179" t="s">
        <v>362</v>
      </c>
      <c r="C140" s="180" t="s">
        <v>338</v>
      </c>
      <c r="D140" s="179" t="s">
        <v>216</v>
      </c>
      <c r="E140" s="181">
        <v>0.5</v>
      </c>
    </row>
    <row r="141" spans="2:5" ht="12.75" x14ac:dyDescent="0.2">
      <c r="B141" s="179" t="s">
        <v>363</v>
      </c>
      <c r="C141" s="180" t="s">
        <v>338</v>
      </c>
      <c r="D141" s="179" t="s">
        <v>216</v>
      </c>
      <c r="E141" s="181">
        <v>0.5</v>
      </c>
    </row>
    <row r="142" spans="2:5" ht="12.75" x14ac:dyDescent="0.2">
      <c r="B142" s="179" t="s">
        <v>364</v>
      </c>
      <c r="C142" s="180" t="s">
        <v>338</v>
      </c>
      <c r="D142" s="179" t="s">
        <v>216</v>
      </c>
      <c r="E142" s="181">
        <v>0.5</v>
      </c>
    </row>
    <row r="143" spans="2:5" ht="12.75" x14ac:dyDescent="0.2">
      <c r="B143" s="179" t="s">
        <v>365</v>
      </c>
      <c r="C143" s="180" t="s">
        <v>338</v>
      </c>
      <c r="D143" s="179" t="s">
        <v>216</v>
      </c>
      <c r="E143" s="181">
        <v>0.5</v>
      </c>
    </row>
    <row r="144" spans="2:5" ht="12.75" x14ac:dyDescent="0.2">
      <c r="B144" s="179" t="s">
        <v>366</v>
      </c>
      <c r="C144" s="180" t="s">
        <v>338</v>
      </c>
      <c r="D144" s="179" t="s">
        <v>216</v>
      </c>
      <c r="E144" s="181">
        <v>0.5</v>
      </c>
    </row>
    <row r="145" spans="2:5" ht="12.75" x14ac:dyDescent="0.2">
      <c r="B145" s="179" t="s">
        <v>367</v>
      </c>
      <c r="C145" s="180" t="s">
        <v>338</v>
      </c>
      <c r="D145" s="179" t="s">
        <v>216</v>
      </c>
      <c r="E145" s="181">
        <v>0.5</v>
      </c>
    </row>
    <row r="146" spans="2:5" ht="12.75" x14ac:dyDescent="0.2">
      <c r="B146" s="179" t="s">
        <v>368</v>
      </c>
      <c r="C146" s="180" t="s">
        <v>338</v>
      </c>
      <c r="D146" s="179" t="s">
        <v>216</v>
      </c>
      <c r="E146" s="181">
        <v>0.5</v>
      </c>
    </row>
    <row r="147" spans="2:5" ht="12.75" x14ac:dyDescent="0.2">
      <c r="B147" s="179" t="s">
        <v>369</v>
      </c>
      <c r="C147" s="180" t="s">
        <v>338</v>
      </c>
      <c r="D147" s="179" t="s">
        <v>216</v>
      </c>
      <c r="E147" s="181">
        <v>0.5</v>
      </c>
    </row>
    <row r="148" spans="2:5" ht="12.75" x14ac:dyDescent="0.2">
      <c r="B148" s="179" t="s">
        <v>370</v>
      </c>
      <c r="C148" s="180" t="s">
        <v>338</v>
      </c>
      <c r="D148" s="179" t="s">
        <v>216</v>
      </c>
      <c r="E148" s="181">
        <v>0.5</v>
      </c>
    </row>
    <row r="149" spans="2:5" ht="12.75" x14ac:dyDescent="0.2">
      <c r="B149" s="179" t="s">
        <v>371</v>
      </c>
      <c r="C149" s="180" t="s">
        <v>338</v>
      </c>
      <c r="D149" s="179" t="s">
        <v>216</v>
      </c>
      <c r="E149" s="181">
        <v>0.5</v>
      </c>
    </row>
    <row r="150" spans="2:5" ht="12.75" x14ac:dyDescent="0.2">
      <c r="B150" s="179" t="s">
        <v>372</v>
      </c>
      <c r="C150" s="180" t="s">
        <v>338</v>
      </c>
      <c r="D150" s="179" t="s">
        <v>216</v>
      </c>
      <c r="E150" s="181">
        <v>0.5</v>
      </c>
    </row>
    <row r="151" spans="2:5" ht="12.75" x14ac:dyDescent="0.2">
      <c r="B151" s="179" t="s">
        <v>373</v>
      </c>
      <c r="C151" s="180" t="s">
        <v>338</v>
      </c>
      <c r="D151" s="179" t="s">
        <v>216</v>
      </c>
      <c r="E151" s="181">
        <v>0.5</v>
      </c>
    </row>
    <row r="152" spans="2:5" ht="12.75" x14ac:dyDescent="0.2">
      <c r="B152" s="179" t="s">
        <v>374</v>
      </c>
      <c r="C152" s="180" t="s">
        <v>338</v>
      </c>
      <c r="D152" s="179" t="s">
        <v>216</v>
      </c>
      <c r="E152" s="181">
        <v>0.5</v>
      </c>
    </row>
    <row r="153" spans="2:5" ht="12.75" x14ac:dyDescent="0.2">
      <c r="B153" s="179" t="s">
        <v>375</v>
      </c>
      <c r="C153" s="180" t="s">
        <v>338</v>
      </c>
      <c r="D153" s="179" t="s">
        <v>216</v>
      </c>
      <c r="E153" s="181">
        <v>0.5</v>
      </c>
    </row>
    <row r="154" spans="2:5" ht="12.75" x14ac:dyDescent="0.2">
      <c r="B154" s="179" t="s">
        <v>376</v>
      </c>
      <c r="C154" s="180" t="s">
        <v>338</v>
      </c>
      <c r="D154" s="179" t="s">
        <v>216</v>
      </c>
      <c r="E154" s="181">
        <v>0.5</v>
      </c>
    </row>
    <row r="155" spans="2:5" ht="12.75" x14ac:dyDescent="0.2">
      <c r="B155" s="179" t="s">
        <v>377</v>
      </c>
      <c r="C155" s="180" t="s">
        <v>338</v>
      </c>
      <c r="D155" s="179" t="s">
        <v>216</v>
      </c>
      <c r="E155" s="181">
        <v>0.5</v>
      </c>
    </row>
    <row r="156" spans="2:5" ht="12.75" x14ac:dyDescent="0.2">
      <c r="B156" s="179" t="s">
        <v>378</v>
      </c>
      <c r="C156" s="180" t="s">
        <v>338</v>
      </c>
      <c r="D156" s="179" t="s">
        <v>216</v>
      </c>
      <c r="E156" s="181">
        <v>0.5</v>
      </c>
    </row>
    <row r="157" spans="2:5" ht="12.75" x14ac:dyDescent="0.2">
      <c r="B157" s="179" t="s">
        <v>379</v>
      </c>
      <c r="C157" s="180" t="s">
        <v>338</v>
      </c>
      <c r="D157" s="179" t="s">
        <v>216</v>
      </c>
      <c r="E157" s="181">
        <v>0.5</v>
      </c>
    </row>
    <row r="158" spans="2:5" ht="12.75" x14ac:dyDescent="0.2">
      <c r="B158" s="179" t="s">
        <v>380</v>
      </c>
      <c r="C158" s="180" t="s">
        <v>338</v>
      </c>
      <c r="D158" s="179" t="s">
        <v>216</v>
      </c>
      <c r="E158" s="181">
        <v>0.5</v>
      </c>
    </row>
    <row r="159" spans="2:5" ht="12.75" x14ac:dyDescent="0.2">
      <c r="B159" s="179" t="s">
        <v>381</v>
      </c>
      <c r="C159" s="180" t="s">
        <v>382</v>
      </c>
      <c r="D159" s="179" t="s">
        <v>214</v>
      </c>
      <c r="E159" s="181">
        <v>2</v>
      </c>
    </row>
    <row r="160" spans="2:5" ht="12.75" x14ac:dyDescent="0.2">
      <c r="B160" s="179" t="s">
        <v>383</v>
      </c>
      <c r="C160" s="180" t="s">
        <v>382</v>
      </c>
      <c r="D160" s="179" t="s">
        <v>216</v>
      </c>
      <c r="E160" s="181">
        <v>2</v>
      </c>
    </row>
    <row r="161" spans="2:5" ht="12.75" x14ac:dyDescent="0.2">
      <c r="B161" s="179" t="s">
        <v>384</v>
      </c>
      <c r="C161" s="180" t="s">
        <v>385</v>
      </c>
      <c r="D161" s="179" t="s">
        <v>214</v>
      </c>
      <c r="E161" s="181">
        <v>0.5</v>
      </c>
    </row>
    <row r="162" spans="2:5" ht="12.75" x14ac:dyDescent="0.2">
      <c r="B162" s="179" t="s">
        <v>386</v>
      </c>
      <c r="C162" s="180" t="s">
        <v>385</v>
      </c>
      <c r="D162" s="179" t="s">
        <v>216</v>
      </c>
      <c r="E162" s="181">
        <v>2</v>
      </c>
    </row>
    <row r="163" spans="2:5" ht="12.75" x14ac:dyDescent="0.2">
      <c r="B163" s="179" t="s">
        <v>387</v>
      </c>
      <c r="C163" s="180" t="s">
        <v>385</v>
      </c>
      <c r="D163" s="179" t="s">
        <v>216</v>
      </c>
      <c r="E163" s="181">
        <v>2</v>
      </c>
    </row>
    <row r="164" spans="2:5" ht="12.75" x14ac:dyDescent="0.2">
      <c r="B164" s="179" t="s">
        <v>388</v>
      </c>
      <c r="C164" s="180" t="s">
        <v>385</v>
      </c>
      <c r="D164" s="179" t="s">
        <v>216</v>
      </c>
      <c r="E164" s="181">
        <v>2</v>
      </c>
    </row>
    <row r="165" spans="2:5" ht="12.75" x14ac:dyDescent="0.2">
      <c r="B165" s="179" t="s">
        <v>389</v>
      </c>
      <c r="C165" s="180" t="s">
        <v>385</v>
      </c>
      <c r="D165" s="179" t="s">
        <v>216</v>
      </c>
      <c r="E165" s="181">
        <v>2</v>
      </c>
    </row>
    <row r="166" spans="2:5" ht="12.75" x14ac:dyDescent="0.2">
      <c r="B166" s="179" t="s">
        <v>390</v>
      </c>
      <c r="C166" s="180" t="s">
        <v>391</v>
      </c>
      <c r="D166" s="179" t="s">
        <v>214</v>
      </c>
      <c r="E166" s="181">
        <v>0.5</v>
      </c>
    </row>
    <row r="167" spans="2:5" ht="12.75" x14ac:dyDescent="0.2">
      <c r="B167" s="179" t="s">
        <v>392</v>
      </c>
      <c r="C167" s="180" t="s">
        <v>391</v>
      </c>
      <c r="D167" s="179" t="s">
        <v>216</v>
      </c>
      <c r="E167" s="181">
        <v>0.5</v>
      </c>
    </row>
    <row r="168" spans="2:5" ht="12.75" x14ac:dyDescent="0.2">
      <c r="B168" s="179" t="s">
        <v>393</v>
      </c>
      <c r="C168" s="180" t="s">
        <v>391</v>
      </c>
      <c r="D168" s="179" t="s">
        <v>216</v>
      </c>
      <c r="E168" s="181">
        <v>0.5</v>
      </c>
    </row>
    <row r="169" spans="2:5" ht="12.75" x14ac:dyDescent="0.2">
      <c r="B169" s="179" t="s">
        <v>394</v>
      </c>
      <c r="C169" s="180" t="s">
        <v>395</v>
      </c>
      <c r="D169" s="179" t="s">
        <v>214</v>
      </c>
      <c r="E169" s="181">
        <v>0.5</v>
      </c>
    </row>
    <row r="170" spans="2:5" ht="12.75" x14ac:dyDescent="0.2">
      <c r="B170" s="179" t="s">
        <v>396</v>
      </c>
      <c r="C170" s="180" t="s">
        <v>395</v>
      </c>
      <c r="D170" s="179" t="s">
        <v>216</v>
      </c>
      <c r="E170" s="181">
        <v>0.5</v>
      </c>
    </row>
    <row r="171" spans="2:5" ht="12.75" x14ac:dyDescent="0.2">
      <c r="B171" s="179" t="s">
        <v>397</v>
      </c>
      <c r="C171" s="180" t="s">
        <v>395</v>
      </c>
      <c r="D171" s="179" t="s">
        <v>216</v>
      </c>
      <c r="E171" s="181">
        <v>0.5</v>
      </c>
    </row>
    <row r="172" spans="2:5" ht="12.75" x14ac:dyDescent="0.2">
      <c r="B172" s="179" t="s">
        <v>398</v>
      </c>
      <c r="C172" s="180" t="s">
        <v>395</v>
      </c>
      <c r="D172" s="179" t="s">
        <v>216</v>
      </c>
      <c r="E172" s="181">
        <v>0.5</v>
      </c>
    </row>
    <row r="173" spans="2:5" ht="12.75" x14ac:dyDescent="0.2">
      <c r="B173" s="179" t="s">
        <v>399</v>
      </c>
      <c r="C173" s="180" t="s">
        <v>395</v>
      </c>
      <c r="D173" s="179" t="s">
        <v>216</v>
      </c>
      <c r="E173" s="181">
        <v>0.5</v>
      </c>
    </row>
    <row r="174" spans="2:5" ht="12.75" x14ac:dyDescent="0.2">
      <c r="B174" s="179" t="s">
        <v>400</v>
      </c>
      <c r="C174" s="180" t="s">
        <v>395</v>
      </c>
      <c r="D174" s="179" t="s">
        <v>216</v>
      </c>
      <c r="E174" s="181">
        <v>0.5</v>
      </c>
    </row>
    <row r="175" spans="2:5" ht="12.75" x14ac:dyDescent="0.2">
      <c r="B175" s="179" t="s">
        <v>401</v>
      </c>
      <c r="C175" s="180" t="s">
        <v>395</v>
      </c>
      <c r="D175" s="179" t="s">
        <v>216</v>
      </c>
      <c r="E175" s="181">
        <v>0.5</v>
      </c>
    </row>
    <row r="176" spans="2:5" ht="12.75" x14ac:dyDescent="0.2">
      <c r="B176" s="179" t="s">
        <v>402</v>
      </c>
      <c r="C176" s="180" t="s">
        <v>403</v>
      </c>
      <c r="D176" s="179" t="s">
        <v>214</v>
      </c>
      <c r="E176" s="181">
        <v>2</v>
      </c>
    </row>
    <row r="177" spans="2:5" ht="12.75" x14ac:dyDescent="0.2">
      <c r="B177" s="179" t="s">
        <v>402</v>
      </c>
      <c r="C177" s="180" t="s">
        <v>403</v>
      </c>
      <c r="D177" s="179" t="s">
        <v>216</v>
      </c>
      <c r="E177" s="181">
        <v>2</v>
      </c>
    </row>
    <row r="178" spans="2:5" ht="12.75" x14ac:dyDescent="0.2">
      <c r="B178" s="179" t="s">
        <v>404</v>
      </c>
      <c r="C178" s="180" t="s">
        <v>405</v>
      </c>
      <c r="D178" s="179" t="s">
        <v>214</v>
      </c>
      <c r="E178" s="181">
        <v>0.1</v>
      </c>
    </row>
    <row r="179" spans="2:5" ht="12.75" x14ac:dyDescent="0.2">
      <c r="B179" s="179" t="s">
        <v>406</v>
      </c>
      <c r="C179" s="180" t="s">
        <v>405</v>
      </c>
      <c r="D179" s="179" t="s">
        <v>216</v>
      </c>
      <c r="E179" s="181">
        <v>0.1</v>
      </c>
    </row>
    <row r="180" spans="2:5" ht="12.75" x14ac:dyDescent="0.2">
      <c r="B180" s="179" t="s">
        <v>407</v>
      </c>
      <c r="C180" s="180" t="s">
        <v>405</v>
      </c>
      <c r="D180" s="179" t="s">
        <v>216</v>
      </c>
      <c r="E180" s="181">
        <v>0.1</v>
      </c>
    </row>
    <row r="181" spans="2:5" ht="12.75" x14ac:dyDescent="0.2">
      <c r="B181" s="179" t="s">
        <v>408</v>
      </c>
      <c r="C181" s="180" t="s">
        <v>405</v>
      </c>
      <c r="D181" s="179" t="s">
        <v>216</v>
      </c>
      <c r="E181" s="181">
        <v>0.1</v>
      </c>
    </row>
    <row r="182" spans="2:5" ht="12.75" x14ac:dyDescent="0.2">
      <c r="B182" s="179" t="s">
        <v>409</v>
      </c>
      <c r="C182" s="180" t="s">
        <v>405</v>
      </c>
      <c r="D182" s="179" t="s">
        <v>216</v>
      </c>
      <c r="E182" s="181">
        <v>0.1</v>
      </c>
    </row>
    <row r="183" spans="2:5" ht="12.75" x14ac:dyDescent="0.2">
      <c r="B183" s="179" t="s">
        <v>410</v>
      </c>
      <c r="C183" s="180" t="s">
        <v>405</v>
      </c>
      <c r="D183" s="179" t="s">
        <v>216</v>
      </c>
      <c r="E183" s="181">
        <v>0.1</v>
      </c>
    </row>
    <row r="184" spans="2:5" ht="12.75" x14ac:dyDescent="0.2">
      <c r="B184" s="179" t="s">
        <v>411</v>
      </c>
      <c r="C184" s="180" t="s">
        <v>405</v>
      </c>
      <c r="D184" s="179" t="s">
        <v>216</v>
      </c>
      <c r="E184" s="181">
        <v>0.1</v>
      </c>
    </row>
    <row r="185" spans="2:5" ht="12.75" x14ac:dyDescent="0.2">
      <c r="B185" s="179" t="s">
        <v>412</v>
      </c>
      <c r="C185" s="180" t="s">
        <v>405</v>
      </c>
      <c r="D185" s="179" t="s">
        <v>216</v>
      </c>
      <c r="E185" s="181">
        <v>0.1</v>
      </c>
    </row>
    <row r="186" spans="2:5" ht="12.75" x14ac:dyDescent="0.2">
      <c r="B186" s="179" t="s">
        <v>413</v>
      </c>
      <c r="C186" s="180" t="s">
        <v>405</v>
      </c>
      <c r="D186" s="179" t="s">
        <v>216</v>
      </c>
      <c r="E186" s="181">
        <v>0.1</v>
      </c>
    </row>
    <row r="187" spans="2:5" ht="12.75" x14ac:dyDescent="0.2">
      <c r="B187" s="179" t="s">
        <v>414</v>
      </c>
      <c r="C187" s="180" t="s">
        <v>405</v>
      </c>
      <c r="D187" s="179" t="s">
        <v>216</v>
      </c>
      <c r="E187" s="181">
        <v>0.1</v>
      </c>
    </row>
    <row r="188" spans="2:5" ht="12.75" x14ac:dyDescent="0.2">
      <c r="B188" s="179" t="s">
        <v>415</v>
      </c>
      <c r="C188" s="180" t="s">
        <v>405</v>
      </c>
      <c r="D188" s="179" t="s">
        <v>216</v>
      </c>
      <c r="E188" s="181">
        <v>0.1</v>
      </c>
    </row>
    <row r="189" spans="2:5" ht="12.75" x14ac:dyDescent="0.2">
      <c r="B189" s="179" t="s">
        <v>416</v>
      </c>
      <c r="C189" s="180" t="s">
        <v>405</v>
      </c>
      <c r="D189" s="179" t="s">
        <v>216</v>
      </c>
      <c r="E189" s="181">
        <v>0.1</v>
      </c>
    </row>
    <row r="190" spans="2:5" ht="12.75" x14ac:dyDescent="0.2">
      <c r="B190" s="179" t="s">
        <v>417</v>
      </c>
      <c r="C190" s="180" t="s">
        <v>405</v>
      </c>
      <c r="D190" s="179" t="s">
        <v>216</v>
      </c>
      <c r="E190" s="181">
        <v>0.1</v>
      </c>
    </row>
    <row r="191" spans="2:5" ht="12.75" x14ac:dyDescent="0.2">
      <c r="B191" s="179" t="s">
        <v>418</v>
      </c>
      <c r="C191" s="180" t="s">
        <v>405</v>
      </c>
      <c r="D191" s="179" t="s">
        <v>216</v>
      </c>
      <c r="E191" s="181">
        <v>0.1</v>
      </c>
    </row>
    <row r="192" spans="2:5" ht="12.75" x14ac:dyDescent="0.2">
      <c r="B192" s="179" t="s">
        <v>419</v>
      </c>
      <c r="C192" s="180" t="s">
        <v>405</v>
      </c>
      <c r="D192" s="179" t="s">
        <v>216</v>
      </c>
      <c r="E192" s="181">
        <v>0.1</v>
      </c>
    </row>
    <row r="193" spans="2:5" ht="12.75" x14ac:dyDescent="0.2">
      <c r="B193" s="179" t="s">
        <v>420</v>
      </c>
      <c r="C193" s="180" t="s">
        <v>421</v>
      </c>
      <c r="D193" s="179" t="s">
        <v>216</v>
      </c>
      <c r="E193" s="181">
        <v>4</v>
      </c>
    </row>
    <row r="194" spans="2:5" ht="12.75" x14ac:dyDescent="0.2">
      <c r="B194" s="179" t="s">
        <v>422</v>
      </c>
      <c r="C194" s="180" t="s">
        <v>421</v>
      </c>
      <c r="D194" s="179" t="s">
        <v>216</v>
      </c>
      <c r="E194" s="181">
        <v>4</v>
      </c>
    </row>
    <row r="195" spans="2:5" ht="12.75" x14ac:dyDescent="0.2">
      <c r="B195" s="179" t="s">
        <v>423</v>
      </c>
      <c r="C195" s="180" t="s">
        <v>421</v>
      </c>
      <c r="D195" s="179" t="s">
        <v>216</v>
      </c>
      <c r="E195" s="181">
        <v>4</v>
      </c>
    </row>
    <row r="196" spans="2:5" ht="12.75" x14ac:dyDescent="0.2">
      <c r="B196" s="179" t="s">
        <v>424</v>
      </c>
      <c r="C196" s="180" t="s">
        <v>425</v>
      </c>
      <c r="D196" s="179" t="s">
        <v>214</v>
      </c>
      <c r="E196" s="181">
        <v>0.5</v>
      </c>
    </row>
    <row r="197" spans="2:5" ht="12.75" x14ac:dyDescent="0.2">
      <c r="B197" s="179" t="s">
        <v>426</v>
      </c>
      <c r="C197" s="180" t="s">
        <v>425</v>
      </c>
      <c r="D197" s="179" t="s">
        <v>216</v>
      </c>
      <c r="E197" s="181">
        <v>0.5</v>
      </c>
    </row>
    <row r="198" spans="2:5" ht="12.75" x14ac:dyDescent="0.2">
      <c r="B198" s="179" t="s">
        <v>427</v>
      </c>
      <c r="C198" s="180" t="s">
        <v>425</v>
      </c>
      <c r="D198" s="179" t="s">
        <v>216</v>
      </c>
      <c r="E198" s="181">
        <v>0.5</v>
      </c>
    </row>
    <row r="199" spans="2:5" ht="12.75" x14ac:dyDescent="0.2">
      <c r="B199" s="179" t="s">
        <v>428</v>
      </c>
      <c r="C199" s="180" t="s">
        <v>425</v>
      </c>
      <c r="D199" s="179" t="s">
        <v>216</v>
      </c>
      <c r="E199" s="181">
        <v>0.5</v>
      </c>
    </row>
    <row r="200" spans="2:5" ht="12.75" x14ac:dyDescent="0.2">
      <c r="B200" s="179" t="s">
        <v>429</v>
      </c>
      <c r="C200" s="180" t="s">
        <v>425</v>
      </c>
      <c r="D200" s="179" t="s">
        <v>216</v>
      </c>
      <c r="E200" s="181">
        <v>0.5</v>
      </c>
    </row>
    <row r="201" spans="2:5" ht="12.75" x14ac:dyDescent="0.2">
      <c r="B201" s="179" t="s">
        <v>430</v>
      </c>
      <c r="C201" s="180" t="s">
        <v>425</v>
      </c>
      <c r="D201" s="179" t="s">
        <v>216</v>
      </c>
      <c r="E201" s="181">
        <v>0.5</v>
      </c>
    </row>
    <row r="202" spans="2:5" ht="12.75" x14ac:dyDescent="0.2">
      <c r="B202" s="179" t="s">
        <v>431</v>
      </c>
      <c r="C202" s="180" t="s">
        <v>425</v>
      </c>
      <c r="D202" s="179" t="s">
        <v>216</v>
      </c>
      <c r="E202" s="181">
        <v>0.5</v>
      </c>
    </row>
    <row r="203" spans="2:5" ht="12.75" x14ac:dyDescent="0.2">
      <c r="B203" s="179" t="s">
        <v>432</v>
      </c>
      <c r="C203" s="180" t="s">
        <v>425</v>
      </c>
      <c r="D203" s="179" t="s">
        <v>216</v>
      </c>
      <c r="E203" s="181">
        <v>0.5</v>
      </c>
    </row>
    <row r="204" spans="2:5" ht="12.75" x14ac:dyDescent="0.2">
      <c r="B204" s="179" t="s">
        <v>433</v>
      </c>
      <c r="C204" s="180" t="s">
        <v>425</v>
      </c>
      <c r="D204" s="179" t="s">
        <v>216</v>
      </c>
      <c r="E204" s="181">
        <v>0.5</v>
      </c>
    </row>
    <row r="205" spans="2:5" ht="12.75" x14ac:dyDescent="0.2">
      <c r="B205" s="179" t="s">
        <v>434</v>
      </c>
      <c r="C205" s="180" t="s">
        <v>425</v>
      </c>
      <c r="D205" s="179" t="s">
        <v>216</v>
      </c>
      <c r="E205" s="181">
        <v>0.5</v>
      </c>
    </row>
    <row r="206" spans="2:5" ht="12.75" x14ac:dyDescent="0.2">
      <c r="B206" s="179" t="s">
        <v>435</v>
      </c>
      <c r="C206" s="180" t="s">
        <v>425</v>
      </c>
      <c r="D206" s="179" t="s">
        <v>216</v>
      </c>
      <c r="E206" s="181">
        <v>0.5</v>
      </c>
    </row>
    <row r="207" spans="2:5" ht="12.75" x14ac:dyDescent="0.2">
      <c r="B207" s="179" t="s">
        <v>436</v>
      </c>
      <c r="C207" s="180" t="s">
        <v>425</v>
      </c>
      <c r="D207" s="179" t="s">
        <v>216</v>
      </c>
      <c r="E207" s="181">
        <v>0.5</v>
      </c>
    </row>
    <row r="208" spans="2:5" ht="12.75" x14ac:dyDescent="0.2">
      <c r="B208" s="179" t="s">
        <v>437</v>
      </c>
      <c r="C208" s="180" t="s">
        <v>425</v>
      </c>
      <c r="D208" s="179" t="s">
        <v>216</v>
      </c>
      <c r="E208" s="181">
        <v>0.5</v>
      </c>
    </row>
    <row r="209" spans="2:5" ht="12.75" x14ac:dyDescent="0.2">
      <c r="B209" s="179" t="s">
        <v>438</v>
      </c>
      <c r="C209" s="180" t="s">
        <v>425</v>
      </c>
      <c r="D209" s="179" t="s">
        <v>216</v>
      </c>
      <c r="E209" s="181">
        <v>0.5</v>
      </c>
    </row>
    <row r="210" spans="2:5" ht="12.75" x14ac:dyDescent="0.2">
      <c r="B210" s="179" t="s">
        <v>439</v>
      </c>
      <c r="C210" s="180" t="s">
        <v>425</v>
      </c>
      <c r="D210" s="179" t="s">
        <v>216</v>
      </c>
      <c r="E210" s="181">
        <v>0.5</v>
      </c>
    </row>
    <row r="211" spans="2:5" ht="12.75" x14ac:dyDescent="0.2">
      <c r="B211" s="179" t="s">
        <v>440</v>
      </c>
      <c r="C211" s="180" t="s">
        <v>425</v>
      </c>
      <c r="D211" s="179" t="s">
        <v>216</v>
      </c>
      <c r="E211" s="181">
        <v>0.5</v>
      </c>
    </row>
    <row r="212" spans="2:5" ht="12.75" x14ac:dyDescent="0.2">
      <c r="B212" s="179" t="s">
        <v>441</v>
      </c>
      <c r="C212" s="180" t="s">
        <v>425</v>
      </c>
      <c r="D212" s="179" t="s">
        <v>216</v>
      </c>
      <c r="E212" s="181">
        <v>0.5</v>
      </c>
    </row>
    <row r="213" spans="2:5" ht="12.75" x14ac:dyDescent="0.2">
      <c r="B213" s="179" t="s">
        <v>437</v>
      </c>
      <c r="C213" s="180" t="s">
        <v>442</v>
      </c>
      <c r="D213" s="179" t="s">
        <v>214</v>
      </c>
      <c r="E213" s="181">
        <v>0.5</v>
      </c>
    </row>
    <row r="214" spans="2:5" ht="12.75" x14ac:dyDescent="0.2">
      <c r="B214" s="179" t="s">
        <v>438</v>
      </c>
      <c r="C214" s="180" t="s">
        <v>442</v>
      </c>
      <c r="D214" s="179" t="s">
        <v>214</v>
      </c>
      <c r="E214" s="181">
        <v>0.5</v>
      </c>
    </row>
    <row r="215" spans="2:5" ht="12.75" x14ac:dyDescent="0.2">
      <c r="B215" s="179" t="s">
        <v>439</v>
      </c>
      <c r="C215" s="180" t="s">
        <v>442</v>
      </c>
      <c r="D215" s="179" t="s">
        <v>214</v>
      </c>
      <c r="E215" s="181">
        <v>0.5</v>
      </c>
    </row>
    <row r="216" spans="2:5" ht="12.75" x14ac:dyDescent="0.2">
      <c r="B216" s="179" t="s">
        <v>440</v>
      </c>
      <c r="C216" s="180" t="s">
        <v>442</v>
      </c>
      <c r="D216" s="179" t="s">
        <v>214</v>
      </c>
      <c r="E216" s="181">
        <v>0.5</v>
      </c>
    </row>
    <row r="217" spans="2:5" ht="12.75" x14ac:dyDescent="0.2">
      <c r="B217" s="179" t="s">
        <v>441</v>
      </c>
      <c r="C217" s="180" t="s">
        <v>442</v>
      </c>
      <c r="D217" s="179" t="s">
        <v>214</v>
      </c>
      <c r="E217" s="181">
        <v>0.5</v>
      </c>
    </row>
    <row r="218" spans="2:5" ht="12.75" x14ac:dyDescent="0.2">
      <c r="B218" s="179" t="s">
        <v>443</v>
      </c>
      <c r="C218" s="180" t="s">
        <v>442</v>
      </c>
      <c r="D218" s="179" t="s">
        <v>214</v>
      </c>
      <c r="E218" s="181">
        <v>0.5</v>
      </c>
    </row>
    <row r="219" spans="2:5" ht="12.75" x14ac:dyDescent="0.2">
      <c r="B219" s="179" t="s">
        <v>444</v>
      </c>
      <c r="C219" s="180" t="s">
        <v>442</v>
      </c>
      <c r="D219" s="179" t="s">
        <v>214</v>
      </c>
      <c r="E219" s="181">
        <v>0.5</v>
      </c>
    </row>
    <row r="220" spans="2:5" ht="12.75" x14ac:dyDescent="0.2">
      <c r="B220" s="179" t="s">
        <v>445</v>
      </c>
      <c r="C220" s="180" t="s">
        <v>446</v>
      </c>
      <c r="D220" s="179" t="s">
        <v>214</v>
      </c>
      <c r="E220" s="181">
        <v>0.5</v>
      </c>
    </row>
    <row r="221" spans="2:5" ht="12.75" x14ac:dyDescent="0.2">
      <c r="B221" s="179" t="s">
        <v>447</v>
      </c>
      <c r="C221" s="180" t="s">
        <v>446</v>
      </c>
      <c r="D221" s="179" t="s">
        <v>216</v>
      </c>
      <c r="E221" s="181">
        <v>0.5</v>
      </c>
    </row>
    <row r="222" spans="2:5" ht="12.75" x14ac:dyDescent="0.2">
      <c r="B222" s="179" t="s">
        <v>448</v>
      </c>
      <c r="C222" s="180" t="s">
        <v>446</v>
      </c>
      <c r="D222" s="179" t="s">
        <v>216</v>
      </c>
      <c r="E222" s="181">
        <v>0.5</v>
      </c>
    </row>
    <row r="223" spans="2:5" ht="12.75" x14ac:dyDescent="0.2">
      <c r="B223" s="179" t="s">
        <v>449</v>
      </c>
      <c r="C223" s="180" t="s">
        <v>446</v>
      </c>
      <c r="D223" s="179" t="s">
        <v>216</v>
      </c>
      <c r="E223" s="181">
        <v>0.5</v>
      </c>
    </row>
    <row r="224" spans="2:5" ht="12.75" x14ac:dyDescent="0.2">
      <c r="B224" s="179" t="s">
        <v>450</v>
      </c>
      <c r="C224" s="180" t="s">
        <v>451</v>
      </c>
      <c r="D224" s="179" t="s">
        <v>214</v>
      </c>
      <c r="E224" s="181">
        <v>0.1</v>
      </c>
    </row>
    <row r="225" spans="2:5" ht="12.75" x14ac:dyDescent="0.2">
      <c r="B225" s="179" t="s">
        <v>452</v>
      </c>
      <c r="C225" s="180" t="s">
        <v>451</v>
      </c>
      <c r="D225" s="179" t="s">
        <v>214</v>
      </c>
      <c r="E225" s="181">
        <v>0.1</v>
      </c>
    </row>
    <row r="226" spans="2:5" ht="12.75" x14ac:dyDescent="0.2">
      <c r="B226" s="179" t="s">
        <v>453</v>
      </c>
      <c r="C226" s="180" t="s">
        <v>451</v>
      </c>
      <c r="D226" s="179" t="s">
        <v>214</v>
      </c>
      <c r="E226" s="181">
        <v>0.1</v>
      </c>
    </row>
    <row r="227" spans="2:5" ht="12.75" x14ac:dyDescent="0.2">
      <c r="B227" s="179" t="s">
        <v>454</v>
      </c>
      <c r="C227" s="180" t="s">
        <v>451</v>
      </c>
      <c r="D227" s="179" t="s">
        <v>214</v>
      </c>
      <c r="E227" s="181">
        <v>0.1</v>
      </c>
    </row>
    <row r="228" spans="2:5" ht="12.75" x14ac:dyDescent="0.2">
      <c r="B228" s="179" t="s">
        <v>455</v>
      </c>
      <c r="C228" s="180" t="s">
        <v>456</v>
      </c>
      <c r="D228" s="179" t="s">
        <v>214</v>
      </c>
      <c r="E228" s="181">
        <v>0.5</v>
      </c>
    </row>
    <row r="229" spans="2:5" ht="12.75" x14ac:dyDescent="0.2">
      <c r="B229" s="179" t="s">
        <v>457</v>
      </c>
      <c r="C229" s="180" t="s">
        <v>458</v>
      </c>
      <c r="D229" s="179" t="s">
        <v>216</v>
      </c>
      <c r="E229" s="181">
        <v>0.5</v>
      </c>
    </row>
    <row r="230" spans="2:5" ht="12.75" x14ac:dyDescent="0.2">
      <c r="B230" s="179" t="s">
        <v>459</v>
      </c>
      <c r="C230" s="180" t="s">
        <v>458</v>
      </c>
      <c r="D230" s="179" t="s">
        <v>216</v>
      </c>
      <c r="E230" s="181">
        <v>0.5</v>
      </c>
    </row>
    <row r="231" spans="2:5" ht="12.75" x14ac:dyDescent="0.2">
      <c r="B231" s="179" t="s">
        <v>460</v>
      </c>
      <c r="C231" s="180" t="s">
        <v>458</v>
      </c>
      <c r="D231" s="179" t="s">
        <v>216</v>
      </c>
      <c r="E231" s="181">
        <v>0.5</v>
      </c>
    </row>
    <row r="232" spans="2:5" ht="12.75" x14ac:dyDescent="0.2">
      <c r="B232" s="179" t="s">
        <v>461</v>
      </c>
      <c r="C232" s="180" t="s">
        <v>458</v>
      </c>
      <c r="D232" s="179" t="s">
        <v>216</v>
      </c>
      <c r="E232" s="181">
        <v>0.5</v>
      </c>
    </row>
    <row r="233" spans="2:5" ht="12.75" x14ac:dyDescent="0.2">
      <c r="B233" s="179" t="s">
        <v>462</v>
      </c>
      <c r="C233" s="180" t="s">
        <v>458</v>
      </c>
      <c r="D233" s="179" t="s">
        <v>216</v>
      </c>
      <c r="E233" s="181">
        <v>0.5</v>
      </c>
    </row>
    <row r="234" spans="2:5" ht="12.75" x14ac:dyDescent="0.2">
      <c r="B234" s="179" t="s">
        <v>463</v>
      </c>
      <c r="C234" s="180" t="s">
        <v>458</v>
      </c>
      <c r="D234" s="179" t="s">
        <v>216</v>
      </c>
      <c r="E234" s="181">
        <v>0.5</v>
      </c>
    </row>
    <row r="235" spans="2:5" ht="12.75" x14ac:dyDescent="0.2">
      <c r="B235" s="179" t="s">
        <v>464</v>
      </c>
      <c r="C235" s="180" t="s">
        <v>465</v>
      </c>
      <c r="D235" s="179" t="s">
        <v>214</v>
      </c>
      <c r="E235" s="181">
        <v>0.5</v>
      </c>
    </row>
    <row r="236" spans="2:5" ht="12.75" x14ac:dyDescent="0.2">
      <c r="B236" s="179" t="s">
        <v>466</v>
      </c>
      <c r="C236" s="180" t="s">
        <v>465</v>
      </c>
      <c r="D236" s="179" t="s">
        <v>216</v>
      </c>
      <c r="E236" s="181">
        <v>0.5</v>
      </c>
    </row>
    <row r="237" spans="2:5" ht="12.75" x14ac:dyDescent="0.2">
      <c r="B237" s="179" t="s">
        <v>467</v>
      </c>
      <c r="C237" s="180" t="s">
        <v>465</v>
      </c>
      <c r="D237" s="179" t="s">
        <v>216</v>
      </c>
      <c r="E237" s="181">
        <v>0.5</v>
      </c>
    </row>
    <row r="238" spans="2:5" ht="12.75" x14ac:dyDescent="0.2">
      <c r="B238" s="179" t="s">
        <v>468</v>
      </c>
      <c r="C238" s="180" t="s">
        <v>465</v>
      </c>
      <c r="D238" s="179" t="s">
        <v>216</v>
      </c>
      <c r="E238" s="181">
        <v>0.5</v>
      </c>
    </row>
    <row r="239" spans="2:5" ht="12.75" x14ac:dyDescent="0.2">
      <c r="B239" s="179" t="s">
        <v>469</v>
      </c>
      <c r="C239" s="180" t="s">
        <v>465</v>
      </c>
      <c r="D239" s="179" t="s">
        <v>216</v>
      </c>
      <c r="E239" s="181">
        <v>0.5</v>
      </c>
    </row>
    <row r="240" spans="2:5" ht="12.75" x14ac:dyDescent="0.2">
      <c r="B240" s="179" t="s">
        <v>470</v>
      </c>
      <c r="C240" s="180" t="s">
        <v>465</v>
      </c>
      <c r="D240" s="179" t="s">
        <v>216</v>
      </c>
      <c r="E240" s="181">
        <v>0.5</v>
      </c>
    </row>
    <row r="241" spans="2:5" ht="12.75" x14ac:dyDescent="0.2">
      <c r="B241" s="179" t="s">
        <v>471</v>
      </c>
      <c r="C241" s="180" t="s">
        <v>465</v>
      </c>
      <c r="D241" s="179" t="s">
        <v>216</v>
      </c>
      <c r="E241" s="181">
        <v>0.5</v>
      </c>
    </row>
    <row r="242" spans="2:5" ht="12.75" x14ac:dyDescent="0.2">
      <c r="B242" s="179" t="s">
        <v>472</v>
      </c>
      <c r="C242" s="180" t="s">
        <v>465</v>
      </c>
      <c r="D242" s="179" t="s">
        <v>216</v>
      </c>
      <c r="E242" s="181">
        <v>0.5</v>
      </c>
    </row>
    <row r="243" spans="2:5" ht="12.75" x14ac:dyDescent="0.2">
      <c r="B243" s="179" t="s">
        <v>473</v>
      </c>
      <c r="C243" s="180" t="s">
        <v>465</v>
      </c>
      <c r="D243" s="179" t="s">
        <v>216</v>
      </c>
      <c r="E243" s="181">
        <v>0.5</v>
      </c>
    </row>
    <row r="244" spans="2:5" ht="12.75" x14ac:dyDescent="0.2">
      <c r="B244" s="179" t="s">
        <v>474</v>
      </c>
      <c r="C244" s="180" t="s">
        <v>465</v>
      </c>
      <c r="D244" s="179" t="s">
        <v>216</v>
      </c>
      <c r="E244" s="181">
        <v>0.5</v>
      </c>
    </row>
    <row r="245" spans="2:5" ht="12.75" x14ac:dyDescent="0.2">
      <c r="B245" s="179" t="s">
        <v>475</v>
      </c>
      <c r="C245" s="180" t="s">
        <v>465</v>
      </c>
      <c r="D245" s="179" t="s">
        <v>216</v>
      </c>
      <c r="E245" s="181">
        <v>0.5</v>
      </c>
    </row>
    <row r="246" spans="2:5" ht="12.75" x14ac:dyDescent="0.2">
      <c r="B246" s="179" t="s">
        <v>476</v>
      </c>
      <c r="C246" s="180" t="s">
        <v>465</v>
      </c>
      <c r="D246" s="179" t="s">
        <v>216</v>
      </c>
      <c r="E246" s="181">
        <v>0.5</v>
      </c>
    </row>
    <row r="247" spans="2:5" ht="12.75" x14ac:dyDescent="0.2">
      <c r="B247" s="179" t="s">
        <v>477</v>
      </c>
      <c r="C247" s="180" t="s">
        <v>465</v>
      </c>
      <c r="D247" s="179" t="s">
        <v>216</v>
      </c>
      <c r="E247" s="181">
        <v>0.5</v>
      </c>
    </row>
    <row r="248" spans="2:5" ht="12.75" x14ac:dyDescent="0.2">
      <c r="B248" s="179" t="s">
        <v>478</v>
      </c>
      <c r="C248" s="180" t="s">
        <v>465</v>
      </c>
      <c r="D248" s="179" t="s">
        <v>216</v>
      </c>
      <c r="E248" s="181">
        <v>0.5</v>
      </c>
    </row>
    <row r="249" spans="2:5" ht="12.75" x14ac:dyDescent="0.2">
      <c r="B249" s="179" t="s">
        <v>479</v>
      </c>
      <c r="C249" s="180" t="s">
        <v>465</v>
      </c>
      <c r="D249" s="179" t="s">
        <v>216</v>
      </c>
      <c r="E249" s="181">
        <v>0.5</v>
      </c>
    </row>
    <row r="250" spans="2:5" ht="12.75" x14ac:dyDescent="0.2">
      <c r="B250" s="179" t="s">
        <v>480</v>
      </c>
      <c r="C250" s="180" t="s">
        <v>465</v>
      </c>
      <c r="D250" s="179" t="s">
        <v>216</v>
      </c>
      <c r="E250" s="181">
        <v>0.5</v>
      </c>
    </row>
    <row r="251" spans="2:5" ht="12.75" x14ac:dyDescent="0.2">
      <c r="B251" s="179" t="s">
        <v>481</v>
      </c>
      <c r="C251" s="180" t="s">
        <v>465</v>
      </c>
      <c r="D251" s="179" t="s">
        <v>216</v>
      </c>
      <c r="E251" s="181">
        <v>0.5</v>
      </c>
    </row>
    <row r="252" spans="2:5" ht="12.75" x14ac:dyDescent="0.2">
      <c r="B252" s="179" t="s">
        <v>482</v>
      </c>
      <c r="C252" s="180" t="s">
        <v>465</v>
      </c>
      <c r="D252" s="179" t="s">
        <v>216</v>
      </c>
      <c r="E252" s="181">
        <v>0.5</v>
      </c>
    </row>
    <row r="253" spans="2:5" ht="12.75" x14ac:dyDescent="0.2">
      <c r="B253" s="179" t="s">
        <v>483</v>
      </c>
      <c r="C253" s="180" t="s">
        <v>465</v>
      </c>
      <c r="D253" s="179" t="s">
        <v>216</v>
      </c>
      <c r="E253" s="181">
        <v>0.5</v>
      </c>
    </row>
    <row r="254" spans="2:5" ht="12.75" x14ac:dyDescent="0.2">
      <c r="B254" s="179" t="s">
        <v>484</v>
      </c>
      <c r="C254" s="180" t="s">
        <v>465</v>
      </c>
      <c r="D254" s="179" t="s">
        <v>216</v>
      </c>
      <c r="E254" s="181">
        <v>0.5</v>
      </c>
    </row>
    <row r="255" spans="2:5" ht="12.75" x14ac:dyDescent="0.2">
      <c r="B255" s="179" t="s">
        <v>485</v>
      </c>
      <c r="C255" s="180" t="s">
        <v>465</v>
      </c>
      <c r="D255" s="179" t="s">
        <v>216</v>
      </c>
      <c r="E255" s="181">
        <v>0.5</v>
      </c>
    </row>
    <row r="256" spans="2:5" ht="12.75" x14ac:dyDescent="0.2">
      <c r="B256" s="179" t="s">
        <v>486</v>
      </c>
      <c r="C256" s="180" t="s">
        <v>465</v>
      </c>
      <c r="D256" s="179" t="s">
        <v>216</v>
      </c>
      <c r="E256" s="181">
        <v>0.5</v>
      </c>
    </row>
    <row r="257" spans="2:5" ht="12.75" x14ac:dyDescent="0.2">
      <c r="B257" s="179" t="s">
        <v>487</v>
      </c>
      <c r="C257" s="180" t="s">
        <v>465</v>
      </c>
      <c r="D257" s="179" t="s">
        <v>216</v>
      </c>
      <c r="E257" s="181">
        <v>0.5</v>
      </c>
    </row>
    <row r="258" spans="2:5" ht="12.75" x14ac:dyDescent="0.2">
      <c r="B258" s="179" t="s">
        <v>488</v>
      </c>
      <c r="C258" s="180" t="s">
        <v>465</v>
      </c>
      <c r="D258" s="179" t="s">
        <v>216</v>
      </c>
      <c r="E258" s="181">
        <v>0.5</v>
      </c>
    </row>
    <row r="259" spans="2:5" ht="12.75" x14ac:dyDescent="0.2">
      <c r="B259" s="179" t="s">
        <v>489</v>
      </c>
      <c r="C259" s="180" t="s">
        <v>465</v>
      </c>
      <c r="D259" s="179" t="s">
        <v>216</v>
      </c>
      <c r="E259" s="181">
        <v>0.5</v>
      </c>
    </row>
    <row r="260" spans="2:5" ht="12.75" x14ac:dyDescent="0.2">
      <c r="B260" s="179" t="s">
        <v>490</v>
      </c>
      <c r="C260" s="180" t="s">
        <v>465</v>
      </c>
      <c r="D260" s="179" t="s">
        <v>216</v>
      </c>
      <c r="E260" s="181">
        <v>0.5</v>
      </c>
    </row>
    <row r="261" spans="2:5" ht="12.75" x14ac:dyDescent="0.2">
      <c r="B261" s="179" t="s">
        <v>491</v>
      </c>
      <c r="C261" s="180" t="s">
        <v>465</v>
      </c>
      <c r="D261" s="179" t="s">
        <v>216</v>
      </c>
      <c r="E261" s="181">
        <v>0.5</v>
      </c>
    </row>
    <row r="262" spans="2:5" ht="12.75" x14ac:dyDescent="0.2">
      <c r="B262" s="179" t="s">
        <v>492</v>
      </c>
      <c r="C262" s="180" t="s">
        <v>465</v>
      </c>
      <c r="D262" s="179" t="s">
        <v>216</v>
      </c>
      <c r="E262" s="181">
        <v>0.5</v>
      </c>
    </row>
    <row r="263" spans="2:5" ht="12.75" x14ac:dyDescent="0.2">
      <c r="B263" s="179" t="s">
        <v>493</v>
      </c>
      <c r="C263" s="180" t="s">
        <v>465</v>
      </c>
      <c r="D263" s="179" t="s">
        <v>216</v>
      </c>
      <c r="E263" s="181">
        <v>0.5</v>
      </c>
    </row>
    <row r="264" spans="2:5" ht="12.75" x14ac:dyDescent="0.2">
      <c r="B264" s="179" t="s">
        <v>494</v>
      </c>
      <c r="C264" s="180" t="s">
        <v>465</v>
      </c>
      <c r="D264" s="179" t="s">
        <v>216</v>
      </c>
      <c r="E264" s="181">
        <v>0.5</v>
      </c>
    </row>
    <row r="265" spans="2:5" ht="12.75" x14ac:dyDescent="0.2">
      <c r="B265" s="179" t="s">
        <v>495</v>
      </c>
      <c r="C265" s="180" t="s">
        <v>465</v>
      </c>
      <c r="D265" s="179" t="s">
        <v>216</v>
      </c>
      <c r="E265" s="181">
        <v>0.5</v>
      </c>
    </row>
    <row r="266" spans="2:5" ht="12.75" x14ac:dyDescent="0.2">
      <c r="B266" s="179" t="s">
        <v>496</v>
      </c>
      <c r="C266" s="180" t="s">
        <v>465</v>
      </c>
      <c r="D266" s="179" t="s">
        <v>216</v>
      </c>
      <c r="E266" s="181">
        <v>0.5</v>
      </c>
    </row>
    <row r="267" spans="2:5" ht="12.75" x14ac:dyDescent="0.2">
      <c r="B267" s="179" t="s">
        <v>497</v>
      </c>
      <c r="C267" s="180" t="s">
        <v>465</v>
      </c>
      <c r="D267" s="179" t="s">
        <v>216</v>
      </c>
      <c r="E267" s="181">
        <v>0.5</v>
      </c>
    </row>
    <row r="268" spans="2:5" ht="12.75" x14ac:dyDescent="0.2">
      <c r="B268" s="179" t="s">
        <v>498</v>
      </c>
      <c r="C268" s="180" t="s">
        <v>465</v>
      </c>
      <c r="D268" s="179" t="s">
        <v>216</v>
      </c>
      <c r="E268" s="181">
        <v>0.5</v>
      </c>
    </row>
    <row r="269" spans="2:5" ht="12.75" x14ac:dyDescent="0.2">
      <c r="B269" s="179" t="s">
        <v>499</v>
      </c>
      <c r="C269" s="180" t="s">
        <v>465</v>
      </c>
      <c r="D269" s="179" t="s">
        <v>216</v>
      </c>
      <c r="E269" s="181">
        <v>0.5</v>
      </c>
    </row>
    <row r="270" spans="2:5" ht="12.75" x14ac:dyDescent="0.2">
      <c r="B270" s="179" t="s">
        <v>500</v>
      </c>
      <c r="C270" s="180" t="s">
        <v>465</v>
      </c>
      <c r="D270" s="179" t="s">
        <v>216</v>
      </c>
      <c r="E270" s="181">
        <v>0.5</v>
      </c>
    </row>
    <row r="271" spans="2:5" ht="12.75" x14ac:dyDescent="0.2">
      <c r="B271" s="179" t="s">
        <v>501</v>
      </c>
      <c r="C271" s="180" t="s">
        <v>502</v>
      </c>
      <c r="D271" s="179" t="s">
        <v>214</v>
      </c>
      <c r="E271" s="181">
        <v>0.1</v>
      </c>
    </row>
    <row r="272" spans="2:5" ht="12.75" x14ac:dyDescent="0.2">
      <c r="B272" s="179" t="s">
        <v>503</v>
      </c>
      <c r="C272" s="180" t="s">
        <v>502</v>
      </c>
      <c r="D272" s="179" t="s">
        <v>216</v>
      </c>
      <c r="E272" s="181">
        <v>0.1</v>
      </c>
    </row>
    <row r="273" spans="2:5" ht="12.75" x14ac:dyDescent="0.2">
      <c r="B273" s="179" t="s">
        <v>504</v>
      </c>
      <c r="C273" s="180" t="s">
        <v>505</v>
      </c>
      <c r="D273" s="179" t="s">
        <v>214</v>
      </c>
      <c r="E273" s="181">
        <v>0.5</v>
      </c>
    </row>
    <row r="274" spans="2:5" ht="12.75" x14ac:dyDescent="0.2">
      <c r="B274" s="179" t="s">
        <v>506</v>
      </c>
      <c r="C274" s="180" t="s">
        <v>505</v>
      </c>
      <c r="D274" s="179" t="s">
        <v>216</v>
      </c>
      <c r="E274" s="181">
        <v>0.5</v>
      </c>
    </row>
    <row r="275" spans="2:5" ht="12.75" x14ac:dyDescent="0.2">
      <c r="B275" s="179" t="s">
        <v>507</v>
      </c>
      <c r="C275" s="180" t="s">
        <v>505</v>
      </c>
      <c r="D275" s="179" t="s">
        <v>216</v>
      </c>
      <c r="E275" s="181">
        <v>0.5</v>
      </c>
    </row>
    <row r="276" spans="2:5" ht="12.75" x14ac:dyDescent="0.2">
      <c r="B276" s="179" t="s">
        <v>508</v>
      </c>
      <c r="C276" s="180" t="s">
        <v>505</v>
      </c>
      <c r="D276" s="179" t="s">
        <v>216</v>
      </c>
      <c r="E276" s="181">
        <v>0.5</v>
      </c>
    </row>
    <row r="277" spans="2:5" ht="12.75" x14ac:dyDescent="0.2">
      <c r="B277" s="179" t="s">
        <v>509</v>
      </c>
      <c r="C277" s="180" t="s">
        <v>505</v>
      </c>
      <c r="D277" s="179" t="s">
        <v>216</v>
      </c>
      <c r="E277" s="181">
        <v>0.5</v>
      </c>
    </row>
    <row r="278" spans="2:5" ht="12.75" x14ac:dyDescent="0.2">
      <c r="B278" s="179" t="s">
        <v>510</v>
      </c>
      <c r="C278" s="180" t="s">
        <v>505</v>
      </c>
      <c r="D278" s="179" t="s">
        <v>216</v>
      </c>
      <c r="E278" s="181">
        <v>0.5</v>
      </c>
    </row>
    <row r="279" spans="2:5" ht="12.75" x14ac:dyDescent="0.2">
      <c r="B279" s="179" t="s">
        <v>511</v>
      </c>
      <c r="C279" s="180" t="s">
        <v>505</v>
      </c>
      <c r="D279" s="179" t="s">
        <v>216</v>
      </c>
      <c r="E279" s="181">
        <v>0.5</v>
      </c>
    </row>
    <row r="280" spans="2:5" ht="12.75" x14ac:dyDescent="0.2">
      <c r="B280" s="179" t="s">
        <v>512</v>
      </c>
      <c r="C280" s="180" t="s">
        <v>505</v>
      </c>
      <c r="D280" s="179" t="s">
        <v>216</v>
      </c>
      <c r="E280" s="181">
        <v>0.5</v>
      </c>
    </row>
    <row r="281" spans="2:5" ht="12.75" x14ac:dyDescent="0.2">
      <c r="B281" s="179" t="s">
        <v>513</v>
      </c>
      <c r="C281" s="180" t="s">
        <v>505</v>
      </c>
      <c r="D281" s="179" t="s">
        <v>216</v>
      </c>
      <c r="E281" s="181">
        <v>0.5</v>
      </c>
    </row>
    <row r="282" spans="2:5" ht="12.75" x14ac:dyDescent="0.2">
      <c r="B282" s="179" t="s">
        <v>514</v>
      </c>
      <c r="C282" s="180" t="s">
        <v>505</v>
      </c>
      <c r="D282" s="179" t="s">
        <v>216</v>
      </c>
      <c r="E282" s="181">
        <v>0.5</v>
      </c>
    </row>
    <row r="283" spans="2:5" ht="12.75" x14ac:dyDescent="0.2">
      <c r="B283" s="179" t="s">
        <v>515</v>
      </c>
      <c r="C283" s="180" t="s">
        <v>516</v>
      </c>
      <c r="D283" s="179" t="s">
        <v>214</v>
      </c>
      <c r="E283" s="181">
        <v>0.5</v>
      </c>
    </row>
    <row r="284" spans="2:5" ht="12.75" x14ac:dyDescent="0.2">
      <c r="B284" s="179" t="s">
        <v>517</v>
      </c>
      <c r="C284" s="180" t="s">
        <v>516</v>
      </c>
      <c r="D284" s="179" t="s">
        <v>216</v>
      </c>
      <c r="E284" s="181">
        <v>0.5</v>
      </c>
    </row>
    <row r="285" spans="2:5" ht="12.75" x14ac:dyDescent="0.2">
      <c r="B285" s="179" t="s">
        <v>518</v>
      </c>
      <c r="C285" s="180" t="s">
        <v>519</v>
      </c>
      <c r="D285" s="179" t="s">
        <v>214</v>
      </c>
      <c r="E285" s="181">
        <v>0.5</v>
      </c>
    </row>
    <row r="286" spans="2:5" ht="12.75" x14ac:dyDescent="0.2">
      <c r="B286" s="179" t="s">
        <v>520</v>
      </c>
      <c r="C286" s="180" t="s">
        <v>519</v>
      </c>
      <c r="D286" s="179" t="s">
        <v>214</v>
      </c>
      <c r="E286" s="181">
        <v>0.5</v>
      </c>
    </row>
    <row r="287" spans="2:5" ht="12.75" x14ac:dyDescent="0.2">
      <c r="B287" s="179" t="s">
        <v>520</v>
      </c>
      <c r="C287" s="180" t="s">
        <v>519</v>
      </c>
      <c r="D287" s="179" t="s">
        <v>216</v>
      </c>
      <c r="E287" s="181">
        <v>0.5</v>
      </c>
    </row>
    <row r="288" spans="2:5" ht="12.75" x14ac:dyDescent="0.2">
      <c r="B288" s="179" t="s">
        <v>521</v>
      </c>
      <c r="C288" s="180" t="s">
        <v>522</v>
      </c>
      <c r="D288" s="179" t="s">
        <v>214</v>
      </c>
      <c r="E288" s="181">
        <v>0.1</v>
      </c>
    </row>
    <row r="289" spans="2:5" ht="12.75" x14ac:dyDescent="0.2">
      <c r="B289" s="179" t="s">
        <v>523</v>
      </c>
      <c r="C289" s="180" t="s">
        <v>524</v>
      </c>
      <c r="D289" s="179" t="s">
        <v>216</v>
      </c>
      <c r="E289" s="181">
        <v>0.5</v>
      </c>
    </row>
    <row r="290" spans="2:5" ht="12.75" x14ac:dyDescent="0.2">
      <c r="B290" s="179" t="s">
        <v>520</v>
      </c>
      <c r="C290" s="180" t="s">
        <v>525</v>
      </c>
      <c r="D290" s="179" t="s">
        <v>216</v>
      </c>
      <c r="E290" s="181">
        <v>0.5</v>
      </c>
    </row>
    <row r="291" spans="2:5" ht="12.75" x14ac:dyDescent="0.2">
      <c r="B291" s="179" t="s">
        <v>526</v>
      </c>
      <c r="C291" s="180" t="s">
        <v>527</v>
      </c>
      <c r="D291" s="179" t="s">
        <v>214</v>
      </c>
      <c r="E291" s="181">
        <v>0.5</v>
      </c>
    </row>
    <row r="292" spans="2:5" ht="12.75" x14ac:dyDescent="0.2">
      <c r="B292" s="179" t="s">
        <v>528</v>
      </c>
      <c r="C292" s="180" t="s">
        <v>527</v>
      </c>
      <c r="D292" s="179" t="s">
        <v>216</v>
      </c>
      <c r="E292" s="181">
        <v>0.5</v>
      </c>
    </row>
    <row r="293" spans="2:5" ht="12.75" x14ac:dyDescent="0.2">
      <c r="B293" s="179" t="s">
        <v>529</v>
      </c>
      <c r="C293" s="180" t="s">
        <v>527</v>
      </c>
      <c r="D293" s="179" t="s">
        <v>216</v>
      </c>
      <c r="E293" s="181">
        <v>0.5</v>
      </c>
    </row>
    <row r="294" spans="2:5" ht="12.75" x14ac:dyDescent="0.2">
      <c r="B294" s="179" t="s">
        <v>530</v>
      </c>
      <c r="C294" s="180" t="s">
        <v>527</v>
      </c>
      <c r="D294" s="179" t="s">
        <v>216</v>
      </c>
      <c r="E294" s="181">
        <v>0.5</v>
      </c>
    </row>
    <row r="295" spans="2:5" ht="12.75" x14ac:dyDescent="0.2">
      <c r="B295" s="179" t="s">
        <v>531</v>
      </c>
      <c r="C295" s="180" t="s">
        <v>527</v>
      </c>
      <c r="D295" s="179" t="s">
        <v>216</v>
      </c>
      <c r="E295" s="181">
        <v>0.5</v>
      </c>
    </row>
    <row r="296" spans="2:5" ht="12.75" x14ac:dyDescent="0.2">
      <c r="B296" s="179" t="s">
        <v>532</v>
      </c>
      <c r="C296" s="180" t="s">
        <v>527</v>
      </c>
      <c r="D296" s="179" t="s">
        <v>216</v>
      </c>
      <c r="E296" s="181">
        <v>0.5</v>
      </c>
    </row>
    <row r="297" spans="2:5" ht="12.75" x14ac:dyDescent="0.2">
      <c r="B297" s="179" t="s">
        <v>533</v>
      </c>
      <c r="C297" s="180" t="s">
        <v>527</v>
      </c>
      <c r="D297" s="179" t="s">
        <v>216</v>
      </c>
      <c r="E297" s="181">
        <v>0.5</v>
      </c>
    </row>
    <row r="298" spans="2:5" ht="12.75" x14ac:dyDescent="0.2">
      <c r="B298" s="179" t="s">
        <v>534</v>
      </c>
      <c r="C298" s="180" t="s">
        <v>527</v>
      </c>
      <c r="D298" s="179" t="s">
        <v>216</v>
      </c>
      <c r="E298" s="181">
        <v>0.5</v>
      </c>
    </row>
    <row r="299" spans="2:5" ht="12.75" x14ac:dyDescent="0.2">
      <c r="B299" s="179" t="s">
        <v>535</v>
      </c>
      <c r="C299" s="180" t="s">
        <v>527</v>
      </c>
      <c r="D299" s="179" t="s">
        <v>216</v>
      </c>
      <c r="E299" s="181">
        <v>0.5</v>
      </c>
    </row>
    <row r="300" spans="2:5" ht="12.75" x14ac:dyDescent="0.2">
      <c r="B300" s="179" t="s">
        <v>536</v>
      </c>
      <c r="C300" s="180" t="s">
        <v>527</v>
      </c>
      <c r="D300" s="179" t="s">
        <v>216</v>
      </c>
      <c r="E300" s="181">
        <v>0.5</v>
      </c>
    </row>
    <row r="301" spans="2:5" ht="12.75" x14ac:dyDescent="0.2">
      <c r="B301" s="179" t="s">
        <v>537</v>
      </c>
      <c r="C301" s="180" t="s">
        <v>527</v>
      </c>
      <c r="D301" s="179" t="s">
        <v>216</v>
      </c>
      <c r="E301" s="181">
        <v>0.5</v>
      </c>
    </row>
    <row r="302" spans="2:5" ht="12.75" x14ac:dyDescent="0.2">
      <c r="B302" s="179" t="s">
        <v>538</v>
      </c>
      <c r="C302" s="180" t="s">
        <v>527</v>
      </c>
      <c r="D302" s="179" t="s">
        <v>216</v>
      </c>
      <c r="E302" s="181">
        <v>0.5</v>
      </c>
    </row>
    <row r="303" spans="2:5" ht="12.75" x14ac:dyDescent="0.2">
      <c r="B303" s="179" t="s">
        <v>539</v>
      </c>
      <c r="C303" s="180" t="s">
        <v>527</v>
      </c>
      <c r="D303" s="179" t="s">
        <v>216</v>
      </c>
      <c r="E303" s="181">
        <v>0.5</v>
      </c>
    </row>
    <row r="304" spans="2:5" ht="12.75" x14ac:dyDescent="0.2">
      <c r="B304" s="179" t="s">
        <v>540</v>
      </c>
      <c r="C304" s="180" t="s">
        <v>527</v>
      </c>
      <c r="D304" s="179" t="s">
        <v>216</v>
      </c>
      <c r="E304" s="181">
        <v>0.5</v>
      </c>
    </row>
    <row r="305" spans="2:5" ht="12.75" x14ac:dyDescent="0.2">
      <c r="B305" s="179" t="s">
        <v>541</v>
      </c>
      <c r="C305" s="180" t="s">
        <v>527</v>
      </c>
      <c r="D305" s="179" t="s">
        <v>216</v>
      </c>
      <c r="E305" s="181">
        <v>0.5</v>
      </c>
    </row>
    <row r="306" spans="2:5" ht="12.75" x14ac:dyDescent="0.2">
      <c r="B306" s="179" t="s">
        <v>542</v>
      </c>
      <c r="C306" s="180" t="s">
        <v>527</v>
      </c>
      <c r="D306" s="179" t="s">
        <v>216</v>
      </c>
      <c r="E306" s="181">
        <v>0.5</v>
      </c>
    </row>
    <row r="307" spans="2:5" ht="12.75" x14ac:dyDescent="0.2">
      <c r="B307" s="179" t="s">
        <v>543</v>
      </c>
      <c r="C307" s="180" t="s">
        <v>527</v>
      </c>
      <c r="D307" s="179" t="s">
        <v>216</v>
      </c>
      <c r="E307" s="181">
        <v>0.5</v>
      </c>
    </row>
    <row r="308" spans="2:5" ht="12.75" x14ac:dyDescent="0.2">
      <c r="B308" s="179" t="s">
        <v>544</v>
      </c>
      <c r="C308" s="180" t="s">
        <v>527</v>
      </c>
      <c r="D308" s="179" t="s">
        <v>216</v>
      </c>
      <c r="E308" s="181">
        <v>0.5</v>
      </c>
    </row>
    <row r="309" spans="2:5" ht="12.75" x14ac:dyDescent="0.2">
      <c r="B309" s="179" t="s">
        <v>545</v>
      </c>
      <c r="C309" s="180" t="s">
        <v>527</v>
      </c>
      <c r="D309" s="179" t="s">
        <v>216</v>
      </c>
      <c r="E309" s="181">
        <v>0.5</v>
      </c>
    </row>
    <row r="310" spans="2:5" ht="12.75" x14ac:dyDescent="0.2">
      <c r="B310" s="179" t="s">
        <v>546</v>
      </c>
      <c r="C310" s="180" t="s">
        <v>527</v>
      </c>
      <c r="D310" s="179" t="s">
        <v>216</v>
      </c>
      <c r="E310" s="181">
        <v>0.5</v>
      </c>
    </row>
    <row r="311" spans="2:5" ht="12.75" x14ac:dyDescent="0.2">
      <c r="B311" s="179" t="s">
        <v>547</v>
      </c>
      <c r="C311" s="180" t="s">
        <v>527</v>
      </c>
      <c r="D311" s="179" t="s">
        <v>216</v>
      </c>
      <c r="E311" s="181">
        <v>0.5</v>
      </c>
    </row>
    <row r="312" spans="2:5" ht="12.75" x14ac:dyDescent="0.2">
      <c r="B312" s="179" t="s">
        <v>548</v>
      </c>
      <c r="C312" s="180" t="s">
        <v>527</v>
      </c>
      <c r="D312" s="179" t="s">
        <v>216</v>
      </c>
      <c r="E312" s="181">
        <v>0.5</v>
      </c>
    </row>
    <row r="313" spans="2:5" ht="12.75" x14ac:dyDescent="0.2">
      <c r="B313" s="179" t="s">
        <v>549</v>
      </c>
      <c r="C313" s="180" t="s">
        <v>550</v>
      </c>
      <c r="D313" s="179" t="s">
        <v>214</v>
      </c>
      <c r="E313" s="181">
        <v>0.5</v>
      </c>
    </row>
    <row r="314" spans="2:5" ht="12.75" x14ac:dyDescent="0.2">
      <c r="B314" s="179" t="s">
        <v>551</v>
      </c>
      <c r="C314" s="180" t="s">
        <v>552</v>
      </c>
      <c r="D314" s="179" t="s">
        <v>214</v>
      </c>
      <c r="E314" s="181">
        <v>0.5</v>
      </c>
    </row>
    <row r="315" spans="2:5" ht="12.75" x14ac:dyDescent="0.2">
      <c r="B315" s="179" t="s">
        <v>553</v>
      </c>
      <c r="C315" s="180" t="s">
        <v>554</v>
      </c>
      <c r="D315" s="179" t="s">
        <v>216</v>
      </c>
      <c r="E315" s="181">
        <v>10</v>
      </c>
    </row>
    <row r="316" spans="2:5" ht="12.75" x14ac:dyDescent="0.2">
      <c r="B316" s="179" t="s">
        <v>555</v>
      </c>
      <c r="C316" s="180" t="s">
        <v>556</v>
      </c>
      <c r="D316" s="179" t="s">
        <v>214</v>
      </c>
      <c r="E316" s="181">
        <v>0.5</v>
      </c>
    </row>
    <row r="317" spans="2:5" ht="12.75" x14ac:dyDescent="0.2">
      <c r="B317" s="179" t="s">
        <v>557</v>
      </c>
      <c r="C317" s="180" t="s">
        <v>556</v>
      </c>
      <c r="D317" s="179" t="s">
        <v>216</v>
      </c>
      <c r="E317" s="181">
        <v>0.5</v>
      </c>
    </row>
    <row r="318" spans="2:5" ht="12.75" x14ac:dyDescent="0.2">
      <c r="B318" s="179" t="s">
        <v>558</v>
      </c>
      <c r="C318" s="180" t="s">
        <v>556</v>
      </c>
      <c r="D318" s="179" t="s">
        <v>216</v>
      </c>
      <c r="E318" s="181">
        <v>0.5</v>
      </c>
    </row>
    <row r="319" spans="2:5" ht="12.75" x14ac:dyDescent="0.2">
      <c r="B319" s="179" t="s">
        <v>559</v>
      </c>
      <c r="C319" s="180" t="s">
        <v>556</v>
      </c>
      <c r="D319" s="179" t="s">
        <v>216</v>
      </c>
      <c r="E319" s="181">
        <v>0.5</v>
      </c>
    </row>
    <row r="320" spans="2:5" ht="12.75" x14ac:dyDescent="0.2">
      <c r="B320" s="179" t="s">
        <v>560</v>
      </c>
      <c r="C320" s="180" t="s">
        <v>556</v>
      </c>
      <c r="D320" s="179" t="s">
        <v>216</v>
      </c>
      <c r="E320" s="181">
        <v>0.5</v>
      </c>
    </row>
    <row r="321" spans="2:5" ht="12.75" x14ac:dyDescent="0.2">
      <c r="B321" s="179" t="s">
        <v>561</v>
      </c>
      <c r="C321" s="180" t="s">
        <v>556</v>
      </c>
      <c r="D321" s="179" t="s">
        <v>216</v>
      </c>
      <c r="E321" s="181">
        <v>0.5</v>
      </c>
    </row>
    <row r="322" spans="2:5" ht="12.75" x14ac:dyDescent="0.2">
      <c r="B322" s="179" t="s">
        <v>562</v>
      </c>
      <c r="C322" s="180" t="s">
        <v>556</v>
      </c>
      <c r="D322" s="179" t="s">
        <v>216</v>
      </c>
      <c r="E322" s="181">
        <v>0.5</v>
      </c>
    </row>
    <row r="323" spans="2:5" ht="12.75" x14ac:dyDescent="0.2">
      <c r="B323" s="179" t="s">
        <v>563</v>
      </c>
      <c r="C323" s="180" t="s">
        <v>556</v>
      </c>
      <c r="D323" s="179" t="s">
        <v>216</v>
      </c>
      <c r="E323" s="181">
        <v>0.5</v>
      </c>
    </row>
    <row r="324" spans="2:5" ht="12.75" x14ac:dyDescent="0.2">
      <c r="B324" s="179" t="s">
        <v>564</v>
      </c>
      <c r="C324" s="180" t="s">
        <v>565</v>
      </c>
      <c r="D324" s="179" t="s">
        <v>214</v>
      </c>
      <c r="E324" s="181">
        <v>0.5</v>
      </c>
    </row>
    <row r="325" spans="2:5" ht="12.75" x14ac:dyDescent="0.2">
      <c r="B325" s="179" t="s">
        <v>566</v>
      </c>
      <c r="C325" s="180" t="s">
        <v>565</v>
      </c>
      <c r="D325" s="179" t="s">
        <v>216</v>
      </c>
      <c r="E325" s="181">
        <v>0.5</v>
      </c>
    </row>
    <row r="326" spans="2:5" ht="12.75" x14ac:dyDescent="0.2">
      <c r="B326" s="179" t="s">
        <v>567</v>
      </c>
      <c r="C326" s="180" t="s">
        <v>568</v>
      </c>
      <c r="D326" s="179" t="s">
        <v>214</v>
      </c>
      <c r="E326" s="181">
        <v>0.5</v>
      </c>
    </row>
    <row r="327" spans="2:5" ht="12.75" x14ac:dyDescent="0.2">
      <c r="B327" s="179" t="s">
        <v>569</v>
      </c>
      <c r="C327" s="180" t="s">
        <v>568</v>
      </c>
      <c r="D327" s="179" t="s">
        <v>216</v>
      </c>
      <c r="E327" s="181">
        <v>0.5</v>
      </c>
    </row>
    <row r="328" spans="2:5" ht="12.75" x14ac:dyDescent="0.2">
      <c r="B328" s="179" t="s">
        <v>570</v>
      </c>
      <c r="C328" s="180" t="s">
        <v>568</v>
      </c>
      <c r="D328" s="179" t="s">
        <v>216</v>
      </c>
      <c r="E328" s="181">
        <v>0.5</v>
      </c>
    </row>
    <row r="329" spans="2:5" ht="12.75" x14ac:dyDescent="0.2">
      <c r="B329" s="179" t="s">
        <v>571</v>
      </c>
      <c r="C329" s="180" t="s">
        <v>568</v>
      </c>
      <c r="D329" s="179" t="s">
        <v>216</v>
      </c>
      <c r="E329" s="181">
        <v>0.5</v>
      </c>
    </row>
    <row r="330" spans="2:5" ht="12.75" x14ac:dyDescent="0.2">
      <c r="B330" s="179" t="s">
        <v>572</v>
      </c>
      <c r="C330" s="180" t="s">
        <v>568</v>
      </c>
      <c r="D330" s="179" t="s">
        <v>216</v>
      </c>
      <c r="E330" s="181">
        <v>0.5</v>
      </c>
    </row>
    <row r="331" spans="2:5" ht="12.75" x14ac:dyDescent="0.2">
      <c r="B331" s="179" t="s">
        <v>573</v>
      </c>
      <c r="C331" s="180" t="s">
        <v>568</v>
      </c>
      <c r="D331" s="179" t="s">
        <v>216</v>
      </c>
      <c r="E331" s="181">
        <v>0.5</v>
      </c>
    </row>
    <row r="332" spans="2:5" ht="12.75" x14ac:dyDescent="0.2">
      <c r="B332" s="179" t="s">
        <v>574</v>
      </c>
      <c r="C332" s="180" t="s">
        <v>575</v>
      </c>
      <c r="D332" s="179" t="s">
        <v>214</v>
      </c>
      <c r="E332" s="181">
        <v>0.5</v>
      </c>
    </row>
    <row r="333" spans="2:5" ht="12.75" x14ac:dyDescent="0.2">
      <c r="B333" s="179" t="s">
        <v>576</v>
      </c>
      <c r="C333" s="180" t="s">
        <v>575</v>
      </c>
      <c r="D333" s="179" t="s">
        <v>216</v>
      </c>
      <c r="E333" s="181">
        <v>0.5</v>
      </c>
    </row>
    <row r="334" spans="2:5" ht="12.75" x14ac:dyDescent="0.2">
      <c r="B334" s="179" t="s">
        <v>577</v>
      </c>
      <c r="C334" s="180" t="s">
        <v>578</v>
      </c>
      <c r="D334" s="179" t="s">
        <v>214</v>
      </c>
      <c r="E334" s="181">
        <v>0.1</v>
      </c>
    </row>
    <row r="335" spans="2:5" ht="12.75" x14ac:dyDescent="0.2">
      <c r="B335" s="179" t="s">
        <v>579</v>
      </c>
      <c r="C335" s="180" t="s">
        <v>578</v>
      </c>
      <c r="D335" s="179" t="s">
        <v>216</v>
      </c>
      <c r="E335" s="181">
        <v>0.1</v>
      </c>
    </row>
    <row r="336" spans="2:5" ht="12.75" x14ac:dyDescent="0.2">
      <c r="B336" s="179" t="s">
        <v>580</v>
      </c>
      <c r="C336" s="180" t="s">
        <v>578</v>
      </c>
      <c r="D336" s="179" t="s">
        <v>216</v>
      </c>
      <c r="E336" s="181">
        <v>0.1</v>
      </c>
    </row>
    <row r="337" spans="2:5" ht="12.75" x14ac:dyDescent="0.2">
      <c r="B337" s="179" t="s">
        <v>581</v>
      </c>
      <c r="C337" s="180" t="s">
        <v>578</v>
      </c>
      <c r="D337" s="179" t="s">
        <v>216</v>
      </c>
      <c r="E337" s="181">
        <v>0.1</v>
      </c>
    </row>
    <row r="338" spans="2:5" ht="12.75" x14ac:dyDescent="0.2">
      <c r="B338" s="179" t="s">
        <v>582</v>
      </c>
      <c r="C338" s="180" t="s">
        <v>578</v>
      </c>
      <c r="D338" s="179" t="s">
        <v>216</v>
      </c>
      <c r="E338" s="181">
        <v>0.1</v>
      </c>
    </row>
    <row r="339" spans="2:5" ht="12.75" x14ac:dyDescent="0.2">
      <c r="B339" s="179" t="s">
        <v>583</v>
      </c>
      <c r="C339" s="180" t="s">
        <v>578</v>
      </c>
      <c r="D339" s="179" t="s">
        <v>216</v>
      </c>
      <c r="E339" s="181">
        <v>0.1</v>
      </c>
    </row>
    <row r="340" spans="2:5" ht="12.75" x14ac:dyDescent="0.2">
      <c r="B340" s="179" t="s">
        <v>584</v>
      </c>
      <c r="C340" s="180" t="s">
        <v>578</v>
      </c>
      <c r="D340" s="179" t="s">
        <v>216</v>
      </c>
      <c r="E340" s="181">
        <v>0.1</v>
      </c>
    </row>
    <row r="341" spans="2:5" ht="12.75" x14ac:dyDescent="0.2">
      <c r="B341" s="179" t="s">
        <v>585</v>
      </c>
      <c r="C341" s="180" t="s">
        <v>578</v>
      </c>
      <c r="D341" s="179" t="s">
        <v>216</v>
      </c>
      <c r="E341" s="181">
        <v>0.1</v>
      </c>
    </row>
    <row r="342" spans="2:5" ht="12.75" x14ac:dyDescent="0.2">
      <c r="B342" s="179" t="s">
        <v>586</v>
      </c>
      <c r="C342" s="180" t="s">
        <v>578</v>
      </c>
      <c r="D342" s="179" t="s">
        <v>216</v>
      </c>
      <c r="E342" s="181">
        <v>0.1</v>
      </c>
    </row>
    <row r="343" spans="2:5" ht="12.75" x14ac:dyDescent="0.2">
      <c r="B343" s="179" t="s">
        <v>587</v>
      </c>
      <c r="C343" s="180" t="s">
        <v>578</v>
      </c>
      <c r="D343" s="179" t="s">
        <v>216</v>
      </c>
      <c r="E343" s="181">
        <v>0.1</v>
      </c>
    </row>
    <row r="344" spans="2:5" ht="12.75" x14ac:dyDescent="0.2">
      <c r="B344" s="179" t="s">
        <v>588</v>
      </c>
      <c r="C344" s="180" t="s">
        <v>578</v>
      </c>
      <c r="D344" s="179" t="s">
        <v>216</v>
      </c>
      <c r="E344" s="181">
        <v>0.1</v>
      </c>
    </row>
    <row r="345" spans="2:5" ht="12.75" x14ac:dyDescent="0.2">
      <c r="B345" s="179" t="s">
        <v>589</v>
      </c>
      <c r="C345" s="180" t="s">
        <v>578</v>
      </c>
      <c r="D345" s="179" t="s">
        <v>216</v>
      </c>
      <c r="E345" s="181">
        <v>0.1</v>
      </c>
    </row>
    <row r="346" spans="2:5" ht="12.75" x14ac:dyDescent="0.2">
      <c r="B346" s="179" t="s">
        <v>590</v>
      </c>
      <c r="C346" s="180" t="s">
        <v>578</v>
      </c>
      <c r="D346" s="179" t="s">
        <v>216</v>
      </c>
      <c r="E346" s="181">
        <v>0.1</v>
      </c>
    </row>
    <row r="347" spans="2:5" ht="12.75" x14ac:dyDescent="0.2">
      <c r="B347" s="179" t="s">
        <v>591</v>
      </c>
      <c r="C347" s="180" t="s">
        <v>578</v>
      </c>
      <c r="D347" s="179" t="s">
        <v>216</v>
      </c>
      <c r="E347" s="181">
        <v>0.1</v>
      </c>
    </row>
    <row r="348" spans="2:5" ht="12.75" x14ac:dyDescent="0.2">
      <c r="B348" s="179" t="s">
        <v>592</v>
      </c>
      <c r="C348" s="180" t="s">
        <v>578</v>
      </c>
      <c r="D348" s="179" t="s">
        <v>216</v>
      </c>
      <c r="E348" s="181">
        <v>0.1</v>
      </c>
    </row>
    <row r="349" spans="2:5" ht="12.75" x14ac:dyDescent="0.2">
      <c r="B349" s="179" t="s">
        <v>593</v>
      </c>
      <c r="C349" s="180" t="s">
        <v>578</v>
      </c>
      <c r="D349" s="179" t="s">
        <v>216</v>
      </c>
      <c r="E349" s="181">
        <v>0.1</v>
      </c>
    </row>
    <row r="350" spans="2:5" ht="12.75" x14ac:dyDescent="0.2">
      <c r="B350" s="179" t="s">
        <v>594</v>
      </c>
      <c r="C350" s="180" t="s">
        <v>578</v>
      </c>
      <c r="D350" s="179" t="s">
        <v>216</v>
      </c>
      <c r="E350" s="181">
        <v>0.1</v>
      </c>
    </row>
    <row r="351" spans="2:5" ht="12.75" x14ac:dyDescent="0.2">
      <c r="B351" s="179" t="s">
        <v>595</v>
      </c>
      <c r="C351" s="180" t="s">
        <v>578</v>
      </c>
      <c r="D351" s="179" t="s">
        <v>216</v>
      </c>
      <c r="E351" s="181">
        <v>0.1</v>
      </c>
    </row>
    <row r="352" spans="2:5" ht="12.75" x14ac:dyDescent="0.2">
      <c r="B352" s="179" t="s">
        <v>596</v>
      </c>
      <c r="C352" s="180" t="s">
        <v>578</v>
      </c>
      <c r="D352" s="179" t="s">
        <v>216</v>
      </c>
      <c r="E352" s="181">
        <v>0.1</v>
      </c>
    </row>
    <row r="353" spans="2:5" ht="12.75" x14ac:dyDescent="0.2">
      <c r="B353" s="179" t="s">
        <v>597</v>
      </c>
      <c r="C353" s="180" t="s">
        <v>578</v>
      </c>
      <c r="D353" s="179" t="s">
        <v>216</v>
      </c>
      <c r="E353" s="181">
        <v>0.1</v>
      </c>
    </row>
    <row r="354" spans="2:5" ht="12.75" x14ac:dyDescent="0.2">
      <c r="B354" s="179" t="s">
        <v>598</v>
      </c>
      <c r="C354" s="180" t="s">
        <v>578</v>
      </c>
      <c r="D354" s="179" t="s">
        <v>216</v>
      </c>
      <c r="E354" s="181">
        <v>0.1</v>
      </c>
    </row>
    <row r="355" spans="2:5" ht="12.75" x14ac:dyDescent="0.2">
      <c r="B355" s="179" t="s">
        <v>599</v>
      </c>
      <c r="C355" s="180" t="s">
        <v>578</v>
      </c>
      <c r="D355" s="179" t="s">
        <v>216</v>
      </c>
      <c r="E355" s="181">
        <v>0.1</v>
      </c>
    </row>
    <row r="356" spans="2:5" ht="12.75" x14ac:dyDescent="0.2">
      <c r="B356" s="179" t="s">
        <v>600</v>
      </c>
      <c r="C356" s="180" t="s">
        <v>578</v>
      </c>
      <c r="D356" s="179" t="s">
        <v>216</v>
      </c>
      <c r="E356" s="181">
        <v>0.1</v>
      </c>
    </row>
    <row r="357" spans="2:5" ht="12.75" x14ac:dyDescent="0.2">
      <c r="B357" s="179" t="s">
        <v>601</v>
      </c>
      <c r="C357" s="180" t="s">
        <v>578</v>
      </c>
      <c r="D357" s="179" t="s">
        <v>216</v>
      </c>
      <c r="E357" s="181">
        <v>0.1</v>
      </c>
    </row>
    <row r="358" spans="2:5" ht="12.75" x14ac:dyDescent="0.2">
      <c r="B358" s="179" t="s">
        <v>602</v>
      </c>
      <c r="C358" s="180" t="s">
        <v>578</v>
      </c>
      <c r="D358" s="179" t="s">
        <v>216</v>
      </c>
      <c r="E358" s="181">
        <v>0.1</v>
      </c>
    </row>
    <row r="359" spans="2:5" ht="12.75" x14ac:dyDescent="0.2">
      <c r="B359" s="179" t="s">
        <v>603</v>
      </c>
      <c r="C359" s="180" t="s">
        <v>578</v>
      </c>
      <c r="D359" s="179" t="s">
        <v>216</v>
      </c>
      <c r="E359" s="181">
        <v>0.1</v>
      </c>
    </row>
    <row r="360" spans="2:5" ht="12.75" x14ac:dyDescent="0.2">
      <c r="B360" s="179" t="s">
        <v>604</v>
      </c>
      <c r="C360" s="180" t="s">
        <v>578</v>
      </c>
      <c r="D360" s="179" t="s">
        <v>216</v>
      </c>
      <c r="E360" s="181">
        <v>0.1</v>
      </c>
    </row>
    <row r="361" spans="2:5" ht="12.75" x14ac:dyDescent="0.2">
      <c r="B361" s="179" t="s">
        <v>605</v>
      </c>
      <c r="C361" s="180" t="s">
        <v>578</v>
      </c>
      <c r="D361" s="179" t="s">
        <v>216</v>
      </c>
      <c r="E361" s="181">
        <v>0.1</v>
      </c>
    </row>
    <row r="362" spans="2:5" ht="12.75" x14ac:dyDescent="0.2">
      <c r="B362" s="179" t="s">
        <v>606</v>
      </c>
      <c r="C362" s="180" t="s">
        <v>578</v>
      </c>
      <c r="D362" s="179" t="s">
        <v>216</v>
      </c>
      <c r="E362" s="181">
        <v>0.1</v>
      </c>
    </row>
    <row r="363" spans="2:5" ht="12.75" x14ac:dyDescent="0.2">
      <c r="B363" s="179" t="s">
        <v>607</v>
      </c>
      <c r="C363" s="180" t="s">
        <v>578</v>
      </c>
      <c r="D363" s="179" t="s">
        <v>216</v>
      </c>
      <c r="E363" s="181">
        <v>0.1</v>
      </c>
    </row>
    <row r="364" spans="2:5" ht="12.75" x14ac:dyDescent="0.2">
      <c r="B364" s="179" t="s">
        <v>608</v>
      </c>
      <c r="C364" s="180" t="s">
        <v>578</v>
      </c>
      <c r="D364" s="179" t="s">
        <v>216</v>
      </c>
      <c r="E364" s="181">
        <v>0.1</v>
      </c>
    </row>
    <row r="365" spans="2:5" ht="12.75" x14ac:dyDescent="0.2">
      <c r="B365" s="179" t="s">
        <v>609</v>
      </c>
      <c r="C365" s="180" t="s">
        <v>578</v>
      </c>
      <c r="D365" s="179" t="s">
        <v>216</v>
      </c>
      <c r="E365" s="181">
        <v>0.1</v>
      </c>
    </row>
    <row r="366" spans="2:5" ht="12.75" x14ac:dyDescent="0.2">
      <c r="B366" s="179" t="s">
        <v>610</v>
      </c>
      <c r="C366" s="180" t="s">
        <v>578</v>
      </c>
      <c r="D366" s="179" t="s">
        <v>216</v>
      </c>
      <c r="E366" s="181">
        <v>0.1</v>
      </c>
    </row>
    <row r="367" spans="2:5" ht="12.75" x14ac:dyDescent="0.2">
      <c r="B367" s="179" t="s">
        <v>611</v>
      </c>
      <c r="C367" s="180" t="s">
        <v>578</v>
      </c>
      <c r="D367" s="179" t="s">
        <v>216</v>
      </c>
      <c r="E367" s="181">
        <v>0.1</v>
      </c>
    </row>
    <row r="368" spans="2:5" ht="12.75" x14ac:dyDescent="0.2">
      <c r="B368" s="179" t="s">
        <v>612</v>
      </c>
      <c r="C368" s="180" t="s">
        <v>578</v>
      </c>
      <c r="D368" s="179" t="s">
        <v>216</v>
      </c>
      <c r="E368" s="181">
        <v>0.1</v>
      </c>
    </row>
    <row r="369" spans="2:5" ht="12.75" x14ac:dyDescent="0.2">
      <c r="B369" s="179" t="s">
        <v>613</v>
      </c>
      <c r="C369" s="180" t="s">
        <v>578</v>
      </c>
      <c r="D369" s="179" t="s">
        <v>216</v>
      </c>
      <c r="E369" s="181">
        <v>0.1</v>
      </c>
    </row>
    <row r="370" spans="2:5" ht="12.75" x14ac:dyDescent="0.2">
      <c r="B370" s="179" t="s">
        <v>614</v>
      </c>
      <c r="C370" s="180" t="s">
        <v>578</v>
      </c>
      <c r="D370" s="179" t="s">
        <v>216</v>
      </c>
      <c r="E370" s="181">
        <v>0.1</v>
      </c>
    </row>
    <row r="371" spans="2:5" ht="12.75" x14ac:dyDescent="0.2">
      <c r="B371" s="179" t="s">
        <v>615</v>
      </c>
      <c r="C371" s="180" t="s">
        <v>578</v>
      </c>
      <c r="D371" s="179" t="s">
        <v>216</v>
      </c>
      <c r="E371" s="181">
        <v>0.1</v>
      </c>
    </row>
    <row r="372" spans="2:5" ht="12.75" x14ac:dyDescent="0.2">
      <c r="B372" s="179" t="s">
        <v>616</v>
      </c>
      <c r="C372" s="180" t="s">
        <v>578</v>
      </c>
      <c r="D372" s="179" t="s">
        <v>216</v>
      </c>
      <c r="E372" s="181">
        <v>0.1</v>
      </c>
    </row>
    <row r="373" spans="2:5" ht="12.75" x14ac:dyDescent="0.2">
      <c r="B373" s="179" t="s">
        <v>617</v>
      </c>
      <c r="C373" s="180" t="s">
        <v>578</v>
      </c>
      <c r="D373" s="179" t="s">
        <v>216</v>
      </c>
      <c r="E373" s="181">
        <v>0.1</v>
      </c>
    </row>
    <row r="374" spans="2:5" ht="12.75" x14ac:dyDescent="0.2">
      <c r="B374" s="179" t="s">
        <v>618</v>
      </c>
      <c r="C374" s="180" t="s">
        <v>578</v>
      </c>
      <c r="D374" s="179" t="s">
        <v>216</v>
      </c>
      <c r="E374" s="181">
        <v>0.1</v>
      </c>
    </row>
    <row r="375" spans="2:5" ht="12.75" x14ac:dyDescent="0.2">
      <c r="B375" s="179" t="s">
        <v>619</v>
      </c>
      <c r="C375" s="180" t="s">
        <v>578</v>
      </c>
      <c r="D375" s="179" t="s">
        <v>216</v>
      </c>
      <c r="E375" s="181">
        <v>0.1</v>
      </c>
    </row>
    <row r="376" spans="2:5" ht="12.75" x14ac:dyDescent="0.2">
      <c r="B376" s="179" t="s">
        <v>620</v>
      </c>
      <c r="C376" s="180" t="s">
        <v>578</v>
      </c>
      <c r="D376" s="179" t="s">
        <v>216</v>
      </c>
      <c r="E376" s="181">
        <v>0.1</v>
      </c>
    </row>
    <row r="377" spans="2:5" ht="12.75" x14ac:dyDescent="0.2">
      <c r="B377" s="179" t="s">
        <v>621</v>
      </c>
      <c r="C377" s="180" t="s">
        <v>578</v>
      </c>
      <c r="D377" s="179" t="s">
        <v>216</v>
      </c>
      <c r="E377" s="181">
        <v>0.1</v>
      </c>
    </row>
    <row r="378" spans="2:5" ht="12.75" x14ac:dyDescent="0.2">
      <c r="B378" s="179" t="s">
        <v>622</v>
      </c>
      <c r="C378" s="180" t="s">
        <v>578</v>
      </c>
      <c r="D378" s="179" t="s">
        <v>216</v>
      </c>
      <c r="E378" s="181">
        <v>0.1</v>
      </c>
    </row>
    <row r="379" spans="2:5" ht="12.75" x14ac:dyDescent="0.2">
      <c r="B379" s="179" t="s">
        <v>623</v>
      </c>
      <c r="C379" s="180" t="s">
        <v>578</v>
      </c>
      <c r="D379" s="179" t="s">
        <v>216</v>
      </c>
      <c r="E379" s="181">
        <v>0.1</v>
      </c>
    </row>
    <row r="380" spans="2:5" ht="12.75" x14ac:dyDescent="0.2">
      <c r="B380" s="179" t="s">
        <v>624</v>
      </c>
      <c r="C380" s="180" t="s">
        <v>578</v>
      </c>
      <c r="D380" s="179" t="s">
        <v>216</v>
      </c>
      <c r="E380" s="181">
        <v>0.1</v>
      </c>
    </row>
    <row r="381" spans="2:5" ht="12.75" x14ac:dyDescent="0.2">
      <c r="B381" s="179" t="s">
        <v>625</v>
      </c>
      <c r="C381" s="180" t="s">
        <v>578</v>
      </c>
      <c r="D381" s="179" t="s">
        <v>216</v>
      </c>
      <c r="E381" s="181">
        <v>0.1</v>
      </c>
    </row>
    <row r="382" spans="2:5" ht="12.75" x14ac:dyDescent="0.2">
      <c r="B382" s="179" t="s">
        <v>626</v>
      </c>
      <c r="C382" s="180" t="s">
        <v>578</v>
      </c>
      <c r="D382" s="179" t="s">
        <v>216</v>
      </c>
      <c r="E382" s="181">
        <v>0.1</v>
      </c>
    </row>
    <row r="383" spans="2:5" ht="12.75" x14ac:dyDescent="0.2">
      <c r="B383" s="179" t="s">
        <v>627</v>
      </c>
      <c r="C383" s="180" t="s">
        <v>578</v>
      </c>
      <c r="D383" s="179" t="s">
        <v>216</v>
      </c>
      <c r="E383" s="181">
        <v>0.1</v>
      </c>
    </row>
    <row r="384" spans="2:5" ht="12.75" x14ac:dyDescent="0.2">
      <c r="B384" s="179" t="s">
        <v>628</v>
      </c>
      <c r="C384" s="180" t="s">
        <v>578</v>
      </c>
      <c r="D384" s="179" t="s">
        <v>216</v>
      </c>
      <c r="E384" s="181">
        <v>0.1</v>
      </c>
    </row>
    <row r="385" spans="2:5" ht="12.75" x14ac:dyDescent="0.2">
      <c r="B385" s="179" t="s">
        <v>629</v>
      </c>
      <c r="C385" s="180" t="s">
        <v>578</v>
      </c>
      <c r="D385" s="179" t="s">
        <v>216</v>
      </c>
      <c r="E385" s="181">
        <v>0.1</v>
      </c>
    </row>
    <row r="386" spans="2:5" ht="12.75" x14ac:dyDescent="0.2">
      <c r="B386" s="179" t="s">
        <v>630</v>
      </c>
      <c r="C386" s="180" t="s">
        <v>578</v>
      </c>
      <c r="D386" s="179" t="s">
        <v>216</v>
      </c>
      <c r="E386" s="181">
        <v>0.1</v>
      </c>
    </row>
    <row r="387" spans="2:5" ht="12.75" x14ac:dyDescent="0.2">
      <c r="B387" s="179" t="s">
        <v>631</v>
      </c>
      <c r="C387" s="180" t="s">
        <v>578</v>
      </c>
      <c r="D387" s="179" t="s">
        <v>216</v>
      </c>
      <c r="E387" s="181">
        <v>0.1</v>
      </c>
    </row>
    <row r="388" spans="2:5" ht="12.75" x14ac:dyDescent="0.2">
      <c r="B388" s="179" t="s">
        <v>632</v>
      </c>
      <c r="C388" s="180" t="s">
        <v>578</v>
      </c>
      <c r="D388" s="179" t="s">
        <v>216</v>
      </c>
      <c r="E388" s="181">
        <v>0.1</v>
      </c>
    </row>
    <row r="389" spans="2:5" ht="12.75" x14ac:dyDescent="0.2">
      <c r="B389" s="179" t="s">
        <v>633</v>
      </c>
      <c r="C389" s="180" t="s">
        <v>578</v>
      </c>
      <c r="D389" s="179" t="s">
        <v>216</v>
      </c>
      <c r="E389" s="181">
        <v>0.1</v>
      </c>
    </row>
    <row r="390" spans="2:5" ht="12.75" x14ac:dyDescent="0.2">
      <c r="B390" s="179" t="s">
        <v>634</v>
      </c>
      <c r="C390" s="180" t="s">
        <v>578</v>
      </c>
      <c r="D390" s="179" t="s">
        <v>216</v>
      </c>
      <c r="E390" s="181">
        <v>0.1</v>
      </c>
    </row>
    <row r="391" spans="2:5" ht="12.75" x14ac:dyDescent="0.2">
      <c r="B391" s="179" t="s">
        <v>635</v>
      </c>
      <c r="C391" s="180" t="s">
        <v>578</v>
      </c>
      <c r="D391" s="179" t="s">
        <v>216</v>
      </c>
      <c r="E391" s="181">
        <v>0.1</v>
      </c>
    </row>
    <row r="392" spans="2:5" ht="12.75" x14ac:dyDescent="0.2">
      <c r="B392" s="179" t="s">
        <v>636</v>
      </c>
      <c r="C392" s="180" t="s">
        <v>578</v>
      </c>
      <c r="D392" s="179" t="s">
        <v>216</v>
      </c>
      <c r="E392" s="181">
        <v>0.1</v>
      </c>
    </row>
    <row r="393" spans="2:5" ht="12.75" x14ac:dyDescent="0.2">
      <c r="B393" s="179" t="s">
        <v>637</v>
      </c>
      <c r="C393" s="180" t="s">
        <v>578</v>
      </c>
      <c r="D393" s="179" t="s">
        <v>216</v>
      </c>
      <c r="E393" s="181">
        <v>0.1</v>
      </c>
    </row>
    <row r="394" spans="2:5" ht="12.75" x14ac:dyDescent="0.2">
      <c r="B394" s="179" t="s">
        <v>638</v>
      </c>
      <c r="C394" s="180" t="s">
        <v>578</v>
      </c>
      <c r="D394" s="179" t="s">
        <v>216</v>
      </c>
      <c r="E394" s="181">
        <v>0.1</v>
      </c>
    </row>
    <row r="395" spans="2:5" ht="12.75" x14ac:dyDescent="0.2">
      <c r="B395" s="179" t="s">
        <v>639</v>
      </c>
      <c r="C395" s="180" t="s">
        <v>578</v>
      </c>
      <c r="D395" s="179" t="s">
        <v>216</v>
      </c>
      <c r="E395" s="181">
        <v>0.1</v>
      </c>
    </row>
    <row r="396" spans="2:5" ht="12.75" x14ac:dyDescent="0.2">
      <c r="B396" s="179" t="s">
        <v>640</v>
      </c>
      <c r="C396" s="180" t="s">
        <v>578</v>
      </c>
      <c r="D396" s="179" t="s">
        <v>216</v>
      </c>
      <c r="E396" s="181">
        <v>0.1</v>
      </c>
    </row>
    <row r="397" spans="2:5" ht="12.75" x14ac:dyDescent="0.2">
      <c r="B397" s="179" t="s">
        <v>641</v>
      </c>
      <c r="C397" s="180" t="s">
        <v>578</v>
      </c>
      <c r="D397" s="179" t="s">
        <v>216</v>
      </c>
      <c r="E397" s="181">
        <v>0.1</v>
      </c>
    </row>
    <row r="398" spans="2:5" ht="12.75" x14ac:dyDescent="0.2">
      <c r="B398" s="179" t="s">
        <v>642</v>
      </c>
      <c r="C398" s="180" t="s">
        <v>578</v>
      </c>
      <c r="D398" s="179" t="s">
        <v>216</v>
      </c>
      <c r="E398" s="181">
        <v>0.1</v>
      </c>
    </row>
    <row r="399" spans="2:5" ht="12.75" x14ac:dyDescent="0.2">
      <c r="B399" s="179" t="s">
        <v>643</v>
      </c>
      <c r="C399" s="180" t="s">
        <v>578</v>
      </c>
      <c r="D399" s="179" t="s">
        <v>216</v>
      </c>
      <c r="E399" s="181">
        <v>0.1</v>
      </c>
    </row>
    <row r="400" spans="2:5" ht="12.75" x14ac:dyDescent="0.2">
      <c r="B400" s="179" t="s">
        <v>644</v>
      </c>
      <c r="C400" s="180" t="s">
        <v>578</v>
      </c>
      <c r="D400" s="179" t="s">
        <v>216</v>
      </c>
      <c r="E400" s="181">
        <v>0.1</v>
      </c>
    </row>
    <row r="401" spans="2:5" ht="12.75" x14ac:dyDescent="0.2">
      <c r="B401" s="179" t="s">
        <v>645</v>
      </c>
      <c r="C401" s="180" t="s">
        <v>578</v>
      </c>
      <c r="D401" s="179" t="s">
        <v>216</v>
      </c>
      <c r="E401" s="181">
        <v>0.1</v>
      </c>
    </row>
    <row r="402" spans="2:5" ht="12.75" x14ac:dyDescent="0.2">
      <c r="B402" s="179" t="s">
        <v>646</v>
      </c>
      <c r="C402" s="180" t="s">
        <v>578</v>
      </c>
      <c r="D402" s="179" t="s">
        <v>216</v>
      </c>
      <c r="E402" s="181">
        <v>0.1</v>
      </c>
    </row>
    <row r="403" spans="2:5" ht="12.75" x14ac:dyDescent="0.2">
      <c r="B403" s="179" t="s">
        <v>647</v>
      </c>
      <c r="C403" s="180" t="s">
        <v>578</v>
      </c>
      <c r="D403" s="179" t="s">
        <v>216</v>
      </c>
      <c r="E403" s="181">
        <v>0.1</v>
      </c>
    </row>
    <row r="404" spans="2:5" ht="12.75" x14ac:dyDescent="0.2">
      <c r="B404" s="179" t="s">
        <v>648</v>
      </c>
      <c r="C404" s="180" t="s">
        <v>578</v>
      </c>
      <c r="D404" s="179" t="s">
        <v>216</v>
      </c>
      <c r="E404" s="181">
        <v>0.1</v>
      </c>
    </row>
    <row r="405" spans="2:5" ht="12.75" x14ac:dyDescent="0.2">
      <c r="B405" s="179" t="s">
        <v>649</v>
      </c>
      <c r="C405" s="180" t="s">
        <v>578</v>
      </c>
      <c r="D405" s="179" t="s">
        <v>216</v>
      </c>
      <c r="E405" s="181">
        <v>0.1</v>
      </c>
    </row>
    <row r="406" spans="2:5" ht="12.75" x14ac:dyDescent="0.2">
      <c r="B406" s="179" t="s">
        <v>650</v>
      </c>
      <c r="C406" s="180" t="s">
        <v>578</v>
      </c>
      <c r="D406" s="179" t="s">
        <v>216</v>
      </c>
      <c r="E406" s="181">
        <v>0.1</v>
      </c>
    </row>
    <row r="407" spans="2:5" ht="12.75" x14ac:dyDescent="0.2">
      <c r="B407" s="179" t="s">
        <v>651</v>
      </c>
      <c r="C407" s="180" t="s">
        <v>578</v>
      </c>
      <c r="D407" s="179" t="s">
        <v>216</v>
      </c>
      <c r="E407" s="181">
        <v>0.1</v>
      </c>
    </row>
    <row r="408" spans="2:5" ht="12.75" x14ac:dyDescent="0.2">
      <c r="B408" s="179" t="s">
        <v>652</v>
      </c>
      <c r="C408" s="180" t="s">
        <v>578</v>
      </c>
      <c r="D408" s="179" t="s">
        <v>216</v>
      </c>
      <c r="E408" s="181">
        <v>0.1</v>
      </c>
    </row>
    <row r="409" spans="2:5" ht="12.75" x14ac:dyDescent="0.2">
      <c r="B409" s="179" t="s">
        <v>653</v>
      </c>
      <c r="C409" s="180" t="s">
        <v>578</v>
      </c>
      <c r="D409" s="179" t="s">
        <v>216</v>
      </c>
      <c r="E409" s="181">
        <v>0.1</v>
      </c>
    </row>
    <row r="410" spans="2:5" ht="12.75" x14ac:dyDescent="0.2">
      <c r="B410" s="179" t="s">
        <v>654</v>
      </c>
      <c r="C410" s="180" t="s">
        <v>578</v>
      </c>
      <c r="D410" s="179" t="s">
        <v>216</v>
      </c>
      <c r="E410" s="181">
        <v>0.1</v>
      </c>
    </row>
    <row r="411" spans="2:5" ht="12.75" x14ac:dyDescent="0.2">
      <c r="B411" s="179" t="s">
        <v>655</v>
      </c>
      <c r="C411" s="180" t="s">
        <v>578</v>
      </c>
      <c r="D411" s="179" t="s">
        <v>216</v>
      </c>
      <c r="E411" s="181">
        <v>0.1</v>
      </c>
    </row>
    <row r="412" spans="2:5" ht="12.75" x14ac:dyDescent="0.2">
      <c r="B412" s="179" t="s">
        <v>656</v>
      </c>
      <c r="C412" s="180" t="s">
        <v>578</v>
      </c>
      <c r="D412" s="179" t="s">
        <v>216</v>
      </c>
      <c r="E412" s="181">
        <v>0.1</v>
      </c>
    </row>
    <row r="413" spans="2:5" ht="12.75" x14ac:dyDescent="0.2">
      <c r="B413" s="179" t="s">
        <v>657</v>
      </c>
      <c r="C413" s="180" t="s">
        <v>578</v>
      </c>
      <c r="D413" s="179" t="s">
        <v>216</v>
      </c>
      <c r="E413" s="181">
        <v>0.1</v>
      </c>
    </row>
    <row r="414" spans="2:5" ht="12.75" x14ac:dyDescent="0.2">
      <c r="B414" s="179" t="s">
        <v>658</v>
      </c>
      <c r="C414" s="180" t="s">
        <v>578</v>
      </c>
      <c r="D414" s="179" t="s">
        <v>216</v>
      </c>
      <c r="E414" s="181">
        <v>0.1</v>
      </c>
    </row>
    <row r="415" spans="2:5" ht="12.75" x14ac:dyDescent="0.2">
      <c r="B415" s="179" t="s">
        <v>659</v>
      </c>
      <c r="C415" s="180" t="s">
        <v>578</v>
      </c>
      <c r="D415" s="179" t="s">
        <v>216</v>
      </c>
      <c r="E415" s="181">
        <v>0.1</v>
      </c>
    </row>
    <row r="416" spans="2:5" ht="12.75" x14ac:dyDescent="0.2">
      <c r="B416" s="179" t="s">
        <v>660</v>
      </c>
      <c r="C416" s="180" t="s">
        <v>578</v>
      </c>
      <c r="D416" s="179" t="s">
        <v>216</v>
      </c>
      <c r="E416" s="181">
        <v>0.1</v>
      </c>
    </row>
    <row r="417" spans="2:5" ht="12.75" x14ac:dyDescent="0.2">
      <c r="B417" s="179" t="s">
        <v>661</v>
      </c>
      <c r="C417" s="180" t="s">
        <v>578</v>
      </c>
      <c r="D417" s="179" t="s">
        <v>216</v>
      </c>
      <c r="E417" s="181">
        <v>0.1</v>
      </c>
    </row>
    <row r="418" spans="2:5" ht="12.75" x14ac:dyDescent="0.2">
      <c r="B418" s="179" t="s">
        <v>662</v>
      </c>
      <c r="C418" s="180" t="s">
        <v>578</v>
      </c>
      <c r="D418" s="179" t="s">
        <v>216</v>
      </c>
      <c r="E418" s="181">
        <v>0.1</v>
      </c>
    </row>
    <row r="419" spans="2:5" ht="12.75" x14ac:dyDescent="0.2">
      <c r="B419" s="179" t="s">
        <v>663</v>
      </c>
      <c r="C419" s="180" t="s">
        <v>578</v>
      </c>
      <c r="D419" s="179" t="s">
        <v>216</v>
      </c>
      <c r="E419" s="181">
        <v>0.1</v>
      </c>
    </row>
    <row r="420" spans="2:5" ht="12.75" x14ac:dyDescent="0.2">
      <c r="B420" s="179" t="s">
        <v>664</v>
      </c>
      <c r="C420" s="180" t="s">
        <v>578</v>
      </c>
      <c r="D420" s="179" t="s">
        <v>216</v>
      </c>
      <c r="E420" s="181">
        <v>0.1</v>
      </c>
    </row>
    <row r="421" spans="2:5" ht="12.75" x14ac:dyDescent="0.2">
      <c r="B421" s="179" t="s">
        <v>665</v>
      </c>
      <c r="C421" s="180" t="s">
        <v>578</v>
      </c>
      <c r="D421" s="179" t="s">
        <v>216</v>
      </c>
      <c r="E421" s="181">
        <v>0.1</v>
      </c>
    </row>
    <row r="422" spans="2:5" ht="12.75" x14ac:dyDescent="0.2">
      <c r="B422" s="179" t="s">
        <v>666</v>
      </c>
      <c r="C422" s="180" t="s">
        <v>578</v>
      </c>
      <c r="D422" s="179" t="s">
        <v>216</v>
      </c>
      <c r="E422" s="181">
        <v>0.1</v>
      </c>
    </row>
    <row r="423" spans="2:5" ht="12.75" x14ac:dyDescent="0.2">
      <c r="B423" s="179" t="s">
        <v>667</v>
      </c>
      <c r="C423" s="180" t="s">
        <v>578</v>
      </c>
      <c r="D423" s="179" t="s">
        <v>216</v>
      </c>
      <c r="E423" s="181">
        <v>0.1</v>
      </c>
    </row>
    <row r="424" spans="2:5" ht="12.75" x14ac:dyDescent="0.2">
      <c r="B424" s="179" t="s">
        <v>668</v>
      </c>
      <c r="C424" s="180" t="s">
        <v>578</v>
      </c>
      <c r="D424" s="179" t="s">
        <v>216</v>
      </c>
      <c r="E424" s="181">
        <v>0.1</v>
      </c>
    </row>
    <row r="425" spans="2:5" ht="12.75" x14ac:dyDescent="0.2">
      <c r="B425" s="179" t="s">
        <v>669</v>
      </c>
      <c r="C425" s="180" t="s">
        <v>578</v>
      </c>
      <c r="D425" s="179" t="s">
        <v>216</v>
      </c>
      <c r="E425" s="181">
        <v>0.1</v>
      </c>
    </row>
    <row r="426" spans="2:5" ht="12.75" x14ac:dyDescent="0.2">
      <c r="B426" s="179" t="s">
        <v>670</v>
      </c>
      <c r="C426" s="180" t="s">
        <v>578</v>
      </c>
      <c r="D426" s="179" t="s">
        <v>216</v>
      </c>
      <c r="E426" s="181">
        <v>0.1</v>
      </c>
    </row>
    <row r="427" spans="2:5" ht="12.75" x14ac:dyDescent="0.2">
      <c r="B427" s="179" t="s">
        <v>671</v>
      </c>
      <c r="C427" s="180" t="s">
        <v>578</v>
      </c>
      <c r="D427" s="179" t="s">
        <v>216</v>
      </c>
      <c r="E427" s="181">
        <v>0.1</v>
      </c>
    </row>
    <row r="428" spans="2:5" ht="12.75" x14ac:dyDescent="0.2">
      <c r="B428" s="179" t="s">
        <v>672</v>
      </c>
      <c r="C428" s="180" t="s">
        <v>578</v>
      </c>
      <c r="D428" s="179" t="s">
        <v>216</v>
      </c>
      <c r="E428" s="181">
        <v>0.1</v>
      </c>
    </row>
    <row r="429" spans="2:5" ht="12.75" x14ac:dyDescent="0.2">
      <c r="B429" s="179" t="s">
        <v>673</v>
      </c>
      <c r="C429" s="180" t="s">
        <v>578</v>
      </c>
      <c r="D429" s="179" t="s">
        <v>216</v>
      </c>
      <c r="E429" s="181">
        <v>0.1</v>
      </c>
    </row>
    <row r="430" spans="2:5" ht="12.75" x14ac:dyDescent="0.2">
      <c r="B430" s="179" t="s">
        <v>674</v>
      </c>
      <c r="C430" s="180" t="s">
        <v>578</v>
      </c>
      <c r="D430" s="179" t="s">
        <v>216</v>
      </c>
      <c r="E430" s="181">
        <v>0.1</v>
      </c>
    </row>
    <row r="431" spans="2:5" ht="12.75" x14ac:dyDescent="0.2">
      <c r="B431" s="179" t="s">
        <v>675</v>
      </c>
      <c r="C431" s="180" t="s">
        <v>578</v>
      </c>
      <c r="D431" s="179" t="s">
        <v>216</v>
      </c>
      <c r="E431" s="181">
        <v>0.1</v>
      </c>
    </row>
    <row r="432" spans="2:5" ht="12.75" x14ac:dyDescent="0.2">
      <c r="B432" s="179" t="s">
        <v>676</v>
      </c>
      <c r="C432" s="180" t="s">
        <v>578</v>
      </c>
      <c r="D432" s="179" t="s">
        <v>216</v>
      </c>
      <c r="E432" s="181">
        <v>0.1</v>
      </c>
    </row>
    <row r="433" spans="2:5" ht="12.75" x14ac:dyDescent="0.2">
      <c r="B433" s="179" t="s">
        <v>677</v>
      </c>
      <c r="C433" s="180" t="s">
        <v>578</v>
      </c>
      <c r="D433" s="179" t="s">
        <v>216</v>
      </c>
      <c r="E433" s="181">
        <v>0.1</v>
      </c>
    </row>
    <row r="434" spans="2:5" ht="12.75" x14ac:dyDescent="0.2">
      <c r="B434" s="179" t="s">
        <v>678</v>
      </c>
      <c r="C434" s="180" t="s">
        <v>578</v>
      </c>
      <c r="D434" s="179" t="s">
        <v>216</v>
      </c>
      <c r="E434" s="181">
        <v>0.1</v>
      </c>
    </row>
    <row r="435" spans="2:5" ht="12.75" x14ac:dyDescent="0.2">
      <c r="B435" s="179" t="s">
        <v>679</v>
      </c>
      <c r="C435" s="180" t="s">
        <v>578</v>
      </c>
      <c r="D435" s="179" t="s">
        <v>216</v>
      </c>
      <c r="E435" s="181">
        <v>0.1</v>
      </c>
    </row>
    <row r="436" spans="2:5" ht="12.75" x14ac:dyDescent="0.2">
      <c r="B436" s="179" t="s">
        <v>680</v>
      </c>
      <c r="C436" s="180" t="s">
        <v>578</v>
      </c>
      <c r="D436" s="179" t="s">
        <v>216</v>
      </c>
      <c r="E436" s="181">
        <v>0.1</v>
      </c>
    </row>
    <row r="437" spans="2:5" ht="12.75" x14ac:dyDescent="0.2">
      <c r="B437" s="179" t="s">
        <v>681</v>
      </c>
      <c r="C437" s="180" t="s">
        <v>578</v>
      </c>
      <c r="D437" s="179" t="s">
        <v>216</v>
      </c>
      <c r="E437" s="181">
        <v>0.1</v>
      </c>
    </row>
    <row r="438" spans="2:5" ht="12.75" x14ac:dyDescent="0.2">
      <c r="B438" s="179" t="s">
        <v>682</v>
      </c>
      <c r="C438" s="180" t="s">
        <v>578</v>
      </c>
      <c r="D438" s="179" t="s">
        <v>216</v>
      </c>
      <c r="E438" s="181">
        <v>0.1</v>
      </c>
    </row>
    <row r="439" spans="2:5" ht="12.75" x14ac:dyDescent="0.2">
      <c r="B439" s="179" t="s">
        <v>683</v>
      </c>
      <c r="C439" s="180" t="s">
        <v>578</v>
      </c>
      <c r="D439" s="179" t="s">
        <v>216</v>
      </c>
      <c r="E439" s="181">
        <v>0.1</v>
      </c>
    </row>
    <row r="440" spans="2:5" ht="12.75" x14ac:dyDescent="0.2">
      <c r="B440" s="179" t="s">
        <v>684</v>
      </c>
      <c r="C440" s="180" t="s">
        <v>578</v>
      </c>
      <c r="D440" s="179" t="s">
        <v>216</v>
      </c>
      <c r="E440" s="181">
        <v>0.1</v>
      </c>
    </row>
    <row r="441" spans="2:5" ht="12.75" x14ac:dyDescent="0.2">
      <c r="B441" s="179" t="s">
        <v>685</v>
      </c>
      <c r="C441" s="180" t="s">
        <v>578</v>
      </c>
      <c r="D441" s="179" t="s">
        <v>216</v>
      </c>
      <c r="E441" s="181">
        <v>0.1</v>
      </c>
    </row>
    <row r="442" spans="2:5" ht="12.75" x14ac:dyDescent="0.2">
      <c r="B442" s="179" t="s">
        <v>686</v>
      </c>
      <c r="C442" s="180" t="s">
        <v>578</v>
      </c>
      <c r="D442" s="179" t="s">
        <v>216</v>
      </c>
      <c r="E442" s="181">
        <v>0.1</v>
      </c>
    </row>
    <row r="443" spans="2:5" ht="12.75" x14ac:dyDescent="0.2">
      <c r="B443" s="179" t="s">
        <v>687</v>
      </c>
      <c r="C443" s="180" t="s">
        <v>578</v>
      </c>
      <c r="D443" s="179" t="s">
        <v>216</v>
      </c>
      <c r="E443" s="181">
        <v>0.1</v>
      </c>
    </row>
    <row r="444" spans="2:5" ht="12.75" x14ac:dyDescent="0.2">
      <c r="B444" s="179" t="s">
        <v>688</v>
      </c>
      <c r="C444" s="180" t="s">
        <v>578</v>
      </c>
      <c r="D444" s="179" t="s">
        <v>216</v>
      </c>
      <c r="E444" s="181">
        <v>0.1</v>
      </c>
    </row>
    <row r="445" spans="2:5" ht="12.75" x14ac:dyDescent="0.2">
      <c r="B445" s="179" t="s">
        <v>689</v>
      </c>
      <c r="C445" s="180" t="s">
        <v>578</v>
      </c>
      <c r="D445" s="179" t="s">
        <v>216</v>
      </c>
      <c r="E445" s="181">
        <v>0.1</v>
      </c>
    </row>
    <row r="446" spans="2:5" ht="12.75" x14ac:dyDescent="0.2">
      <c r="B446" s="179" t="s">
        <v>690</v>
      </c>
      <c r="C446" s="180" t="s">
        <v>578</v>
      </c>
      <c r="D446" s="179" t="s">
        <v>216</v>
      </c>
      <c r="E446" s="181">
        <v>0.1</v>
      </c>
    </row>
    <row r="447" spans="2:5" ht="12.75" x14ac:dyDescent="0.2">
      <c r="B447" s="179" t="s">
        <v>691</v>
      </c>
      <c r="C447" s="180" t="s">
        <v>578</v>
      </c>
      <c r="D447" s="179" t="s">
        <v>216</v>
      </c>
      <c r="E447" s="181">
        <v>0.1</v>
      </c>
    </row>
    <row r="448" spans="2:5" ht="12.75" x14ac:dyDescent="0.2">
      <c r="B448" s="179" t="s">
        <v>692</v>
      </c>
      <c r="C448" s="180" t="s">
        <v>578</v>
      </c>
      <c r="D448" s="179" t="s">
        <v>216</v>
      </c>
      <c r="E448" s="181">
        <v>0.1</v>
      </c>
    </row>
    <row r="449" spans="2:5" ht="12.75" x14ac:dyDescent="0.2">
      <c r="B449" s="179" t="s">
        <v>693</v>
      </c>
      <c r="C449" s="180" t="s">
        <v>578</v>
      </c>
      <c r="D449" s="179" t="s">
        <v>216</v>
      </c>
      <c r="E449" s="181">
        <v>0.1</v>
      </c>
    </row>
    <row r="450" spans="2:5" ht="12.75" x14ac:dyDescent="0.2">
      <c r="B450" s="179" t="s">
        <v>694</v>
      </c>
      <c r="C450" s="180" t="s">
        <v>578</v>
      </c>
      <c r="D450" s="179" t="s">
        <v>216</v>
      </c>
      <c r="E450" s="181">
        <v>0.1</v>
      </c>
    </row>
    <row r="451" spans="2:5" ht="12.75" x14ac:dyDescent="0.2">
      <c r="B451" s="179" t="s">
        <v>695</v>
      </c>
      <c r="C451" s="180" t="s">
        <v>578</v>
      </c>
      <c r="D451" s="179" t="s">
        <v>216</v>
      </c>
      <c r="E451" s="181">
        <v>0.1</v>
      </c>
    </row>
    <row r="452" spans="2:5" ht="12.75" x14ac:dyDescent="0.2">
      <c r="B452" s="179" t="s">
        <v>696</v>
      </c>
      <c r="C452" s="180" t="s">
        <v>578</v>
      </c>
      <c r="D452" s="179" t="s">
        <v>216</v>
      </c>
      <c r="E452" s="181">
        <v>0.1</v>
      </c>
    </row>
    <row r="453" spans="2:5" ht="12.75" x14ac:dyDescent="0.2">
      <c r="B453" s="179" t="s">
        <v>697</v>
      </c>
      <c r="C453" s="180" t="s">
        <v>578</v>
      </c>
      <c r="D453" s="179" t="s">
        <v>216</v>
      </c>
      <c r="E453" s="181">
        <v>0.1</v>
      </c>
    </row>
    <row r="454" spans="2:5" ht="12.75" x14ac:dyDescent="0.2">
      <c r="B454" s="179" t="s">
        <v>698</v>
      </c>
      <c r="C454" s="180" t="s">
        <v>578</v>
      </c>
      <c r="D454" s="179" t="s">
        <v>216</v>
      </c>
      <c r="E454" s="181">
        <v>0.1</v>
      </c>
    </row>
    <row r="455" spans="2:5" ht="12.75" x14ac:dyDescent="0.2">
      <c r="B455" s="179" t="s">
        <v>699</v>
      </c>
      <c r="C455" s="180" t="s">
        <v>578</v>
      </c>
      <c r="D455" s="179" t="s">
        <v>216</v>
      </c>
      <c r="E455" s="181">
        <v>0.1</v>
      </c>
    </row>
    <row r="456" spans="2:5" ht="12.75" x14ac:dyDescent="0.2">
      <c r="B456" s="179" t="s">
        <v>700</v>
      </c>
      <c r="C456" s="180" t="s">
        <v>578</v>
      </c>
      <c r="D456" s="179" t="s">
        <v>216</v>
      </c>
      <c r="E456" s="181">
        <v>0.1</v>
      </c>
    </row>
    <row r="457" spans="2:5" ht="12.75" x14ac:dyDescent="0.2">
      <c r="B457" s="179" t="s">
        <v>701</v>
      </c>
      <c r="C457" s="180" t="s">
        <v>578</v>
      </c>
      <c r="D457" s="179" t="s">
        <v>216</v>
      </c>
      <c r="E457" s="181">
        <v>0.1</v>
      </c>
    </row>
    <row r="458" spans="2:5" ht="12.75" x14ac:dyDescent="0.2">
      <c r="B458" s="179" t="s">
        <v>702</v>
      </c>
      <c r="C458" s="180" t="s">
        <v>578</v>
      </c>
      <c r="D458" s="179" t="s">
        <v>216</v>
      </c>
      <c r="E458" s="181">
        <v>0.1</v>
      </c>
    </row>
    <row r="459" spans="2:5" ht="12.75" x14ac:dyDescent="0.2">
      <c r="B459" s="179" t="s">
        <v>703</v>
      </c>
      <c r="C459" s="180" t="s">
        <v>578</v>
      </c>
      <c r="D459" s="179" t="s">
        <v>216</v>
      </c>
      <c r="E459" s="181">
        <v>0.1</v>
      </c>
    </row>
    <row r="460" spans="2:5" ht="12.75" x14ac:dyDescent="0.2">
      <c r="B460" s="179" t="s">
        <v>704</v>
      </c>
      <c r="C460" s="180" t="s">
        <v>578</v>
      </c>
      <c r="D460" s="179" t="s">
        <v>216</v>
      </c>
      <c r="E460" s="181">
        <v>0.1</v>
      </c>
    </row>
    <row r="461" spans="2:5" ht="12.75" x14ac:dyDescent="0.2">
      <c r="B461" s="179" t="s">
        <v>705</v>
      </c>
      <c r="C461" s="180" t="s">
        <v>578</v>
      </c>
      <c r="D461" s="179" t="s">
        <v>216</v>
      </c>
      <c r="E461" s="181">
        <v>0.1</v>
      </c>
    </row>
    <row r="462" spans="2:5" ht="12.75" x14ac:dyDescent="0.2">
      <c r="B462" s="179" t="s">
        <v>706</v>
      </c>
      <c r="C462" s="180" t="s">
        <v>578</v>
      </c>
      <c r="D462" s="179" t="s">
        <v>216</v>
      </c>
      <c r="E462" s="181">
        <v>0.1</v>
      </c>
    </row>
    <row r="463" spans="2:5" ht="12.75" x14ac:dyDescent="0.2">
      <c r="B463" s="179" t="s">
        <v>707</v>
      </c>
      <c r="C463" s="180" t="s">
        <v>578</v>
      </c>
      <c r="D463" s="179" t="s">
        <v>216</v>
      </c>
      <c r="E463" s="181">
        <v>0.1</v>
      </c>
    </row>
    <row r="464" spans="2:5" ht="12.75" x14ac:dyDescent="0.2">
      <c r="B464" s="179" t="s">
        <v>708</v>
      </c>
      <c r="C464" s="180" t="s">
        <v>578</v>
      </c>
      <c r="D464" s="179" t="s">
        <v>216</v>
      </c>
      <c r="E464" s="181">
        <v>0.1</v>
      </c>
    </row>
    <row r="465" spans="2:5" ht="12.75" x14ac:dyDescent="0.2">
      <c r="B465" s="179" t="s">
        <v>709</v>
      </c>
      <c r="C465" s="180" t="s">
        <v>578</v>
      </c>
      <c r="D465" s="179" t="s">
        <v>216</v>
      </c>
      <c r="E465" s="181">
        <v>0.1</v>
      </c>
    </row>
    <row r="466" spans="2:5" ht="12.75" x14ac:dyDescent="0.2">
      <c r="B466" s="179" t="s">
        <v>710</v>
      </c>
      <c r="C466" s="180" t="s">
        <v>578</v>
      </c>
      <c r="D466" s="179" t="s">
        <v>216</v>
      </c>
      <c r="E466" s="181">
        <v>0.1</v>
      </c>
    </row>
    <row r="467" spans="2:5" ht="12.75" x14ac:dyDescent="0.2">
      <c r="B467" s="179" t="s">
        <v>711</v>
      </c>
      <c r="C467" s="180" t="s">
        <v>578</v>
      </c>
      <c r="D467" s="179" t="s">
        <v>216</v>
      </c>
      <c r="E467" s="181">
        <v>0.1</v>
      </c>
    </row>
    <row r="468" spans="2:5" ht="12.75" x14ac:dyDescent="0.2">
      <c r="B468" s="179" t="s">
        <v>712</v>
      </c>
      <c r="C468" s="180" t="s">
        <v>578</v>
      </c>
      <c r="D468" s="179" t="s">
        <v>216</v>
      </c>
      <c r="E468" s="181">
        <v>0.1</v>
      </c>
    </row>
    <row r="469" spans="2:5" ht="12.75" x14ac:dyDescent="0.2">
      <c r="B469" s="179" t="s">
        <v>713</v>
      </c>
      <c r="C469" s="180" t="s">
        <v>578</v>
      </c>
      <c r="D469" s="179" t="s">
        <v>216</v>
      </c>
      <c r="E469" s="181">
        <v>0.1</v>
      </c>
    </row>
    <row r="470" spans="2:5" ht="12.75" x14ac:dyDescent="0.2">
      <c r="B470" s="179" t="s">
        <v>714</v>
      </c>
      <c r="C470" s="180" t="s">
        <v>578</v>
      </c>
      <c r="D470" s="179" t="s">
        <v>216</v>
      </c>
      <c r="E470" s="181">
        <v>0.1</v>
      </c>
    </row>
    <row r="471" spans="2:5" ht="12.75" x14ac:dyDescent="0.2">
      <c r="B471" s="179" t="s">
        <v>715</v>
      </c>
      <c r="C471" s="180" t="s">
        <v>578</v>
      </c>
      <c r="D471" s="179" t="s">
        <v>216</v>
      </c>
      <c r="E471" s="181">
        <v>0.1</v>
      </c>
    </row>
    <row r="472" spans="2:5" ht="12.75" x14ac:dyDescent="0.2">
      <c r="B472" s="179" t="s">
        <v>716</v>
      </c>
      <c r="C472" s="180" t="s">
        <v>578</v>
      </c>
      <c r="D472" s="179" t="s">
        <v>216</v>
      </c>
      <c r="E472" s="181">
        <v>0.1</v>
      </c>
    </row>
    <row r="473" spans="2:5" ht="12.75" x14ac:dyDescent="0.2">
      <c r="B473" s="179" t="s">
        <v>717</v>
      </c>
      <c r="C473" s="180" t="s">
        <v>578</v>
      </c>
      <c r="D473" s="179" t="s">
        <v>216</v>
      </c>
      <c r="E473" s="181">
        <v>0.1</v>
      </c>
    </row>
    <row r="474" spans="2:5" ht="12.75" x14ac:dyDescent="0.2">
      <c r="B474" s="179" t="s">
        <v>718</v>
      </c>
      <c r="C474" s="180" t="s">
        <v>578</v>
      </c>
      <c r="D474" s="179" t="s">
        <v>216</v>
      </c>
      <c r="E474" s="181">
        <v>0.1</v>
      </c>
    </row>
    <row r="475" spans="2:5" ht="12.75" x14ac:dyDescent="0.2">
      <c r="B475" s="179" t="s">
        <v>719</v>
      </c>
      <c r="C475" s="180" t="s">
        <v>578</v>
      </c>
      <c r="D475" s="179" t="s">
        <v>216</v>
      </c>
      <c r="E475" s="181">
        <v>0.1</v>
      </c>
    </row>
    <row r="476" spans="2:5" ht="12.75" x14ac:dyDescent="0.2">
      <c r="B476" s="179" t="s">
        <v>720</v>
      </c>
      <c r="C476" s="180" t="s">
        <v>578</v>
      </c>
      <c r="D476" s="179" t="s">
        <v>216</v>
      </c>
      <c r="E476" s="181">
        <v>0.1</v>
      </c>
    </row>
    <row r="477" spans="2:5" ht="12.75" x14ac:dyDescent="0.2">
      <c r="B477" s="179" t="s">
        <v>721</v>
      </c>
      <c r="C477" s="180" t="s">
        <v>578</v>
      </c>
      <c r="D477" s="179" t="s">
        <v>216</v>
      </c>
      <c r="E477" s="181">
        <v>0.1</v>
      </c>
    </row>
    <row r="478" spans="2:5" ht="12.75" x14ac:dyDescent="0.2">
      <c r="B478" s="179" t="s">
        <v>722</v>
      </c>
      <c r="C478" s="180" t="s">
        <v>578</v>
      </c>
      <c r="D478" s="179" t="s">
        <v>216</v>
      </c>
      <c r="E478" s="181">
        <v>0.1</v>
      </c>
    </row>
    <row r="479" spans="2:5" ht="12.75" x14ac:dyDescent="0.2">
      <c r="B479" s="179" t="s">
        <v>723</v>
      </c>
      <c r="C479" s="180" t="s">
        <v>578</v>
      </c>
      <c r="D479" s="179" t="s">
        <v>216</v>
      </c>
      <c r="E479" s="181">
        <v>0.1</v>
      </c>
    </row>
    <row r="480" spans="2:5" ht="12.75" x14ac:dyDescent="0.2">
      <c r="B480" s="179" t="s">
        <v>724</v>
      </c>
      <c r="C480" s="180" t="s">
        <v>578</v>
      </c>
      <c r="D480" s="179" t="s">
        <v>216</v>
      </c>
      <c r="E480" s="181">
        <v>0.1</v>
      </c>
    </row>
    <row r="481" spans="2:5" ht="12.75" x14ac:dyDescent="0.2">
      <c r="B481" s="179" t="s">
        <v>725</v>
      </c>
      <c r="C481" s="180" t="s">
        <v>578</v>
      </c>
      <c r="D481" s="179" t="s">
        <v>216</v>
      </c>
      <c r="E481" s="181">
        <v>0.1</v>
      </c>
    </row>
    <row r="482" spans="2:5" ht="12.75" x14ac:dyDescent="0.2">
      <c r="B482" s="179" t="s">
        <v>726</v>
      </c>
      <c r="C482" s="180" t="s">
        <v>578</v>
      </c>
      <c r="D482" s="179" t="s">
        <v>216</v>
      </c>
      <c r="E482" s="181">
        <v>0.1</v>
      </c>
    </row>
    <row r="483" spans="2:5" ht="12.75" x14ac:dyDescent="0.2">
      <c r="B483" s="179" t="s">
        <v>727</v>
      </c>
      <c r="C483" s="180" t="s">
        <v>578</v>
      </c>
      <c r="D483" s="179" t="s">
        <v>216</v>
      </c>
      <c r="E483" s="181">
        <v>0.1</v>
      </c>
    </row>
    <row r="484" spans="2:5" ht="12.75" x14ac:dyDescent="0.2">
      <c r="B484" s="179" t="s">
        <v>728</v>
      </c>
      <c r="C484" s="180" t="s">
        <v>578</v>
      </c>
      <c r="D484" s="179" t="s">
        <v>216</v>
      </c>
      <c r="E484" s="181">
        <v>0.1</v>
      </c>
    </row>
    <row r="485" spans="2:5" ht="12.75" x14ac:dyDescent="0.2">
      <c r="B485" s="179" t="s">
        <v>729</v>
      </c>
      <c r="C485" s="180" t="s">
        <v>578</v>
      </c>
      <c r="D485" s="179" t="s">
        <v>216</v>
      </c>
      <c r="E485" s="181">
        <v>0.1</v>
      </c>
    </row>
    <row r="486" spans="2:5" ht="12.75" x14ac:dyDescent="0.2">
      <c r="B486" s="179" t="s">
        <v>730</v>
      </c>
      <c r="C486" s="180" t="s">
        <v>578</v>
      </c>
      <c r="D486" s="179" t="s">
        <v>216</v>
      </c>
      <c r="E486" s="181">
        <v>0.1</v>
      </c>
    </row>
    <row r="487" spans="2:5" ht="12.75" x14ac:dyDescent="0.2">
      <c r="B487" s="179" t="s">
        <v>731</v>
      </c>
      <c r="C487" s="180" t="s">
        <v>578</v>
      </c>
      <c r="D487" s="179" t="s">
        <v>216</v>
      </c>
      <c r="E487" s="181">
        <v>0.1</v>
      </c>
    </row>
    <row r="488" spans="2:5" ht="12.75" x14ac:dyDescent="0.2">
      <c r="B488" s="179" t="s">
        <v>732</v>
      </c>
      <c r="C488" s="180" t="s">
        <v>578</v>
      </c>
      <c r="D488" s="179" t="s">
        <v>216</v>
      </c>
      <c r="E488" s="181">
        <v>0.1</v>
      </c>
    </row>
    <row r="489" spans="2:5" ht="12.75" x14ac:dyDescent="0.2">
      <c r="B489" s="179" t="s">
        <v>733</v>
      </c>
      <c r="C489" s="180" t="s">
        <v>578</v>
      </c>
      <c r="D489" s="179" t="s">
        <v>216</v>
      </c>
      <c r="E489" s="181">
        <v>0.1</v>
      </c>
    </row>
    <row r="490" spans="2:5" ht="12.75" x14ac:dyDescent="0.2">
      <c r="B490" s="179" t="s">
        <v>734</v>
      </c>
      <c r="C490" s="180" t="s">
        <v>578</v>
      </c>
      <c r="D490" s="179" t="s">
        <v>216</v>
      </c>
      <c r="E490" s="181">
        <v>0.1</v>
      </c>
    </row>
    <row r="491" spans="2:5" ht="12.75" x14ac:dyDescent="0.2">
      <c r="B491" s="179" t="s">
        <v>735</v>
      </c>
      <c r="C491" s="180" t="s">
        <v>578</v>
      </c>
      <c r="D491" s="179" t="s">
        <v>216</v>
      </c>
      <c r="E491" s="181">
        <v>0.1</v>
      </c>
    </row>
    <row r="492" spans="2:5" ht="12.75" x14ac:dyDescent="0.2">
      <c r="B492" s="179" t="s">
        <v>736</v>
      </c>
      <c r="C492" s="180" t="s">
        <v>578</v>
      </c>
      <c r="D492" s="179" t="s">
        <v>216</v>
      </c>
      <c r="E492" s="181">
        <v>0.1</v>
      </c>
    </row>
    <row r="493" spans="2:5" ht="12.75" x14ac:dyDescent="0.2">
      <c r="B493" s="179" t="s">
        <v>737</v>
      </c>
      <c r="C493" s="180" t="s">
        <v>578</v>
      </c>
      <c r="D493" s="179" t="s">
        <v>216</v>
      </c>
      <c r="E493" s="181">
        <v>0.1</v>
      </c>
    </row>
    <row r="494" spans="2:5" ht="12.75" x14ac:dyDescent="0.2">
      <c r="B494" s="179" t="s">
        <v>738</v>
      </c>
      <c r="C494" s="180" t="s">
        <v>578</v>
      </c>
      <c r="D494" s="179" t="s">
        <v>216</v>
      </c>
      <c r="E494" s="181">
        <v>0.1</v>
      </c>
    </row>
    <row r="495" spans="2:5" ht="12.75" x14ac:dyDescent="0.2">
      <c r="B495" s="179" t="s">
        <v>739</v>
      </c>
      <c r="C495" s="180" t="s">
        <v>578</v>
      </c>
      <c r="D495" s="179" t="s">
        <v>216</v>
      </c>
      <c r="E495" s="181">
        <v>0.1</v>
      </c>
    </row>
    <row r="496" spans="2:5" ht="12.75" x14ac:dyDescent="0.2">
      <c r="B496" s="179" t="s">
        <v>740</v>
      </c>
      <c r="C496" s="180" t="s">
        <v>578</v>
      </c>
      <c r="D496" s="179" t="s">
        <v>216</v>
      </c>
      <c r="E496" s="181">
        <v>0.1</v>
      </c>
    </row>
    <row r="497" spans="2:5" ht="12.75" x14ac:dyDescent="0.2">
      <c r="B497" s="179" t="s">
        <v>741</v>
      </c>
      <c r="C497" s="180" t="s">
        <v>578</v>
      </c>
      <c r="D497" s="179" t="s">
        <v>216</v>
      </c>
      <c r="E497" s="181">
        <v>0.1</v>
      </c>
    </row>
    <row r="498" spans="2:5" ht="12.75" x14ac:dyDescent="0.2">
      <c r="B498" s="179" t="s">
        <v>742</v>
      </c>
      <c r="C498" s="180" t="s">
        <v>578</v>
      </c>
      <c r="D498" s="179" t="s">
        <v>216</v>
      </c>
      <c r="E498" s="181">
        <v>0.1</v>
      </c>
    </row>
    <row r="499" spans="2:5" ht="12.75" x14ac:dyDescent="0.2">
      <c r="B499" s="179" t="s">
        <v>743</v>
      </c>
      <c r="C499" s="180" t="s">
        <v>578</v>
      </c>
      <c r="D499" s="179" t="s">
        <v>216</v>
      </c>
      <c r="E499" s="181">
        <v>0.1</v>
      </c>
    </row>
    <row r="500" spans="2:5" ht="12.75" x14ac:dyDescent="0.2">
      <c r="B500" s="179" t="s">
        <v>744</v>
      </c>
      <c r="C500" s="180" t="s">
        <v>578</v>
      </c>
      <c r="D500" s="179" t="s">
        <v>216</v>
      </c>
      <c r="E500" s="181">
        <v>0.1</v>
      </c>
    </row>
    <row r="501" spans="2:5" ht="12.75" x14ac:dyDescent="0.2">
      <c r="B501" s="179" t="s">
        <v>745</v>
      </c>
      <c r="C501" s="180" t="s">
        <v>578</v>
      </c>
      <c r="D501" s="179" t="s">
        <v>216</v>
      </c>
      <c r="E501" s="181">
        <v>0.1</v>
      </c>
    </row>
    <row r="502" spans="2:5" ht="12.75" x14ac:dyDescent="0.2">
      <c r="B502" s="179" t="s">
        <v>746</v>
      </c>
      <c r="C502" s="180" t="s">
        <v>578</v>
      </c>
      <c r="D502" s="179" t="s">
        <v>216</v>
      </c>
      <c r="E502" s="181">
        <v>0.1</v>
      </c>
    </row>
    <row r="503" spans="2:5" ht="12.75" x14ac:dyDescent="0.2">
      <c r="B503" s="179" t="s">
        <v>747</v>
      </c>
      <c r="C503" s="180" t="s">
        <v>578</v>
      </c>
      <c r="D503" s="179" t="s">
        <v>216</v>
      </c>
      <c r="E503" s="181">
        <v>0.1</v>
      </c>
    </row>
    <row r="504" spans="2:5" ht="12.75" x14ac:dyDescent="0.2">
      <c r="B504" s="179" t="s">
        <v>748</v>
      </c>
      <c r="C504" s="180" t="s">
        <v>578</v>
      </c>
      <c r="D504" s="179" t="s">
        <v>216</v>
      </c>
      <c r="E504" s="181">
        <v>0.1</v>
      </c>
    </row>
    <row r="505" spans="2:5" ht="12.75" x14ac:dyDescent="0.2">
      <c r="B505" s="179" t="s">
        <v>749</v>
      </c>
      <c r="C505" s="180" t="s">
        <v>578</v>
      </c>
      <c r="D505" s="179" t="s">
        <v>216</v>
      </c>
      <c r="E505" s="181">
        <v>0.1</v>
      </c>
    </row>
    <row r="506" spans="2:5" ht="12.75" x14ac:dyDescent="0.2">
      <c r="B506" s="179" t="s">
        <v>750</v>
      </c>
      <c r="C506" s="180" t="s">
        <v>578</v>
      </c>
      <c r="D506" s="179" t="s">
        <v>216</v>
      </c>
      <c r="E506" s="181">
        <v>0.1</v>
      </c>
    </row>
    <row r="507" spans="2:5" ht="12.75" x14ac:dyDescent="0.2">
      <c r="B507" s="179" t="s">
        <v>751</v>
      </c>
      <c r="C507" s="180" t="s">
        <v>578</v>
      </c>
      <c r="D507" s="179" t="s">
        <v>216</v>
      </c>
      <c r="E507" s="181">
        <v>0.1</v>
      </c>
    </row>
    <row r="508" spans="2:5" ht="12.75" x14ac:dyDescent="0.2">
      <c r="B508" s="179" t="s">
        <v>752</v>
      </c>
      <c r="C508" s="180" t="s">
        <v>578</v>
      </c>
      <c r="D508" s="179" t="s">
        <v>216</v>
      </c>
      <c r="E508" s="181">
        <v>0.1</v>
      </c>
    </row>
    <row r="509" spans="2:5" ht="12.75" x14ac:dyDescent="0.2">
      <c r="B509" s="179" t="s">
        <v>753</v>
      </c>
      <c r="C509" s="180" t="s">
        <v>578</v>
      </c>
      <c r="D509" s="179" t="s">
        <v>216</v>
      </c>
      <c r="E509" s="181">
        <v>0.1</v>
      </c>
    </row>
    <row r="510" spans="2:5" ht="12.75" x14ac:dyDescent="0.2">
      <c r="B510" s="179" t="s">
        <v>754</v>
      </c>
      <c r="C510" s="180" t="s">
        <v>578</v>
      </c>
      <c r="D510" s="179" t="s">
        <v>216</v>
      </c>
      <c r="E510" s="181">
        <v>0.1</v>
      </c>
    </row>
    <row r="511" spans="2:5" ht="12.75" x14ac:dyDescent="0.2">
      <c r="B511" s="179" t="s">
        <v>755</v>
      </c>
      <c r="C511" s="180" t="s">
        <v>578</v>
      </c>
      <c r="D511" s="179" t="s">
        <v>216</v>
      </c>
      <c r="E511" s="181">
        <v>0.1</v>
      </c>
    </row>
    <row r="512" spans="2:5" ht="12.75" x14ac:dyDescent="0.2">
      <c r="B512" s="179" t="s">
        <v>756</v>
      </c>
      <c r="C512" s="180" t="s">
        <v>578</v>
      </c>
      <c r="D512" s="179" t="s">
        <v>216</v>
      </c>
      <c r="E512" s="181">
        <v>0.1</v>
      </c>
    </row>
    <row r="513" spans="2:5" ht="12.75" x14ac:dyDescent="0.2">
      <c r="B513" s="179" t="s">
        <v>757</v>
      </c>
      <c r="C513" s="180" t="s">
        <v>578</v>
      </c>
      <c r="D513" s="179" t="s">
        <v>216</v>
      </c>
      <c r="E513" s="181">
        <v>0.1</v>
      </c>
    </row>
    <row r="514" spans="2:5" ht="12.75" x14ac:dyDescent="0.2">
      <c r="B514" s="179" t="s">
        <v>758</v>
      </c>
      <c r="C514" s="180" t="s">
        <v>578</v>
      </c>
      <c r="D514" s="179" t="s">
        <v>216</v>
      </c>
      <c r="E514" s="181">
        <v>0.1</v>
      </c>
    </row>
    <row r="515" spans="2:5" ht="12.75" x14ac:dyDescent="0.2">
      <c r="B515" s="179" t="s">
        <v>759</v>
      </c>
      <c r="C515" s="180" t="s">
        <v>578</v>
      </c>
      <c r="D515" s="179" t="s">
        <v>216</v>
      </c>
      <c r="E515" s="181">
        <v>0.1</v>
      </c>
    </row>
    <row r="516" spans="2:5" ht="12.75" x14ac:dyDescent="0.2">
      <c r="B516" s="179" t="s">
        <v>760</v>
      </c>
      <c r="C516" s="180" t="s">
        <v>578</v>
      </c>
      <c r="D516" s="179" t="s">
        <v>216</v>
      </c>
      <c r="E516" s="181">
        <v>0.1</v>
      </c>
    </row>
    <row r="517" spans="2:5" ht="12.75" x14ac:dyDescent="0.2">
      <c r="B517" s="179" t="s">
        <v>761</v>
      </c>
      <c r="C517" s="180" t="s">
        <v>578</v>
      </c>
      <c r="D517" s="179" t="s">
        <v>216</v>
      </c>
      <c r="E517" s="181">
        <v>0.1</v>
      </c>
    </row>
    <row r="518" spans="2:5" ht="12.75" x14ac:dyDescent="0.2">
      <c r="B518" s="179" t="s">
        <v>762</v>
      </c>
      <c r="C518" s="180" t="s">
        <v>578</v>
      </c>
      <c r="D518" s="179" t="s">
        <v>216</v>
      </c>
      <c r="E518" s="181">
        <v>0.1</v>
      </c>
    </row>
    <row r="519" spans="2:5" ht="12.75" x14ac:dyDescent="0.2">
      <c r="B519" s="179" t="s">
        <v>763</v>
      </c>
      <c r="C519" s="180" t="s">
        <v>578</v>
      </c>
      <c r="D519" s="179" t="s">
        <v>216</v>
      </c>
      <c r="E519" s="181">
        <v>0.1</v>
      </c>
    </row>
    <row r="520" spans="2:5" ht="12.75" x14ac:dyDescent="0.2">
      <c r="B520" s="179" t="s">
        <v>764</v>
      </c>
      <c r="C520" s="180" t="s">
        <v>578</v>
      </c>
      <c r="D520" s="179" t="s">
        <v>216</v>
      </c>
      <c r="E520" s="181">
        <v>0.1</v>
      </c>
    </row>
    <row r="521" spans="2:5" ht="12.75" x14ac:dyDescent="0.2">
      <c r="B521" s="179" t="s">
        <v>765</v>
      </c>
      <c r="C521" s="180" t="s">
        <v>578</v>
      </c>
      <c r="D521" s="179" t="s">
        <v>216</v>
      </c>
      <c r="E521" s="181">
        <v>0.1</v>
      </c>
    </row>
    <row r="522" spans="2:5" ht="12.75" x14ac:dyDescent="0.2">
      <c r="B522" s="179" t="s">
        <v>766</v>
      </c>
      <c r="C522" s="180" t="s">
        <v>578</v>
      </c>
      <c r="D522" s="179" t="s">
        <v>216</v>
      </c>
      <c r="E522" s="181">
        <v>0.1</v>
      </c>
    </row>
    <row r="523" spans="2:5" ht="12.75" x14ac:dyDescent="0.2">
      <c r="B523" s="179" t="s">
        <v>767</v>
      </c>
      <c r="C523" s="180" t="s">
        <v>578</v>
      </c>
      <c r="D523" s="179" t="s">
        <v>216</v>
      </c>
      <c r="E523" s="181">
        <v>0.1</v>
      </c>
    </row>
    <row r="524" spans="2:5" ht="12.75" x14ac:dyDescent="0.2">
      <c r="B524" s="179" t="s">
        <v>768</v>
      </c>
      <c r="C524" s="180" t="s">
        <v>578</v>
      </c>
      <c r="D524" s="179" t="s">
        <v>216</v>
      </c>
      <c r="E524" s="181">
        <v>0.1</v>
      </c>
    </row>
    <row r="525" spans="2:5" ht="12.75" x14ac:dyDescent="0.2">
      <c r="B525" s="179" t="s">
        <v>769</v>
      </c>
      <c r="C525" s="180" t="s">
        <v>578</v>
      </c>
      <c r="D525" s="179" t="s">
        <v>216</v>
      </c>
      <c r="E525" s="181">
        <v>0.1</v>
      </c>
    </row>
    <row r="526" spans="2:5" ht="12.75" x14ac:dyDescent="0.2">
      <c r="B526" s="179" t="s">
        <v>770</v>
      </c>
      <c r="C526" s="180" t="s">
        <v>578</v>
      </c>
      <c r="D526" s="179" t="s">
        <v>216</v>
      </c>
      <c r="E526" s="181">
        <v>0.1</v>
      </c>
    </row>
    <row r="527" spans="2:5" ht="12.75" x14ac:dyDescent="0.2">
      <c r="B527" s="179" t="s">
        <v>771</v>
      </c>
      <c r="C527" s="180" t="s">
        <v>578</v>
      </c>
      <c r="D527" s="179" t="s">
        <v>216</v>
      </c>
      <c r="E527" s="181">
        <v>0.1</v>
      </c>
    </row>
    <row r="528" spans="2:5" ht="12.75" x14ac:dyDescent="0.2">
      <c r="B528" s="179" t="s">
        <v>772</v>
      </c>
      <c r="C528" s="180" t="s">
        <v>578</v>
      </c>
      <c r="D528" s="179" t="s">
        <v>216</v>
      </c>
      <c r="E528" s="181">
        <v>0.1</v>
      </c>
    </row>
    <row r="529" spans="2:5" ht="12.75" x14ac:dyDescent="0.2">
      <c r="B529" s="179" t="s">
        <v>773</v>
      </c>
      <c r="C529" s="180" t="s">
        <v>578</v>
      </c>
      <c r="D529" s="179" t="s">
        <v>216</v>
      </c>
      <c r="E529" s="181">
        <v>0.1</v>
      </c>
    </row>
    <row r="530" spans="2:5" ht="12.75" x14ac:dyDescent="0.2">
      <c r="B530" s="179" t="s">
        <v>774</v>
      </c>
      <c r="C530" s="180" t="s">
        <v>578</v>
      </c>
      <c r="D530" s="179" t="s">
        <v>216</v>
      </c>
      <c r="E530" s="181">
        <v>0.1</v>
      </c>
    </row>
    <row r="531" spans="2:5" ht="12.75" x14ac:dyDescent="0.2">
      <c r="B531" s="179" t="s">
        <v>775</v>
      </c>
      <c r="C531" s="180" t="s">
        <v>578</v>
      </c>
      <c r="D531" s="179" t="s">
        <v>216</v>
      </c>
      <c r="E531" s="181">
        <v>0.1</v>
      </c>
    </row>
    <row r="532" spans="2:5" ht="12.75" x14ac:dyDescent="0.2">
      <c r="B532" s="179" t="s">
        <v>776</v>
      </c>
      <c r="C532" s="180" t="s">
        <v>578</v>
      </c>
      <c r="D532" s="179" t="s">
        <v>216</v>
      </c>
      <c r="E532" s="181">
        <v>0.1</v>
      </c>
    </row>
    <row r="533" spans="2:5" ht="12.75" x14ac:dyDescent="0.2">
      <c r="B533" s="179" t="s">
        <v>777</v>
      </c>
      <c r="C533" s="180" t="s">
        <v>578</v>
      </c>
      <c r="D533" s="179" t="s">
        <v>216</v>
      </c>
      <c r="E533" s="181">
        <v>0.1</v>
      </c>
    </row>
    <row r="534" spans="2:5" ht="12.75" x14ac:dyDescent="0.2">
      <c r="B534" s="179" t="s">
        <v>778</v>
      </c>
      <c r="C534" s="180" t="s">
        <v>578</v>
      </c>
      <c r="D534" s="179" t="s">
        <v>216</v>
      </c>
      <c r="E534" s="181">
        <v>0.1</v>
      </c>
    </row>
    <row r="535" spans="2:5" ht="12.75" x14ac:dyDescent="0.2">
      <c r="B535" s="179" t="s">
        <v>779</v>
      </c>
      <c r="C535" s="180" t="s">
        <v>578</v>
      </c>
      <c r="D535" s="179" t="s">
        <v>216</v>
      </c>
      <c r="E535" s="181">
        <v>0.1</v>
      </c>
    </row>
    <row r="536" spans="2:5" ht="12.75" x14ac:dyDescent="0.2">
      <c r="B536" s="179" t="s">
        <v>780</v>
      </c>
      <c r="C536" s="180" t="s">
        <v>578</v>
      </c>
      <c r="D536" s="179" t="s">
        <v>216</v>
      </c>
      <c r="E536" s="181">
        <v>0.1</v>
      </c>
    </row>
    <row r="537" spans="2:5" ht="12.75" x14ac:dyDescent="0.2">
      <c r="B537" s="179" t="s">
        <v>781</v>
      </c>
      <c r="C537" s="180" t="s">
        <v>578</v>
      </c>
      <c r="D537" s="179" t="s">
        <v>216</v>
      </c>
      <c r="E537" s="181">
        <v>0.1</v>
      </c>
    </row>
    <row r="538" spans="2:5" ht="12.75" x14ac:dyDescent="0.2">
      <c r="B538" s="179" t="s">
        <v>782</v>
      </c>
      <c r="C538" s="180" t="s">
        <v>578</v>
      </c>
      <c r="D538" s="179" t="s">
        <v>216</v>
      </c>
      <c r="E538" s="181">
        <v>0.1</v>
      </c>
    </row>
    <row r="539" spans="2:5" ht="12.75" x14ac:dyDescent="0.2">
      <c r="B539" s="179" t="s">
        <v>783</v>
      </c>
      <c r="C539" s="180" t="s">
        <v>578</v>
      </c>
      <c r="D539" s="179" t="s">
        <v>216</v>
      </c>
      <c r="E539" s="181">
        <v>0.1</v>
      </c>
    </row>
    <row r="540" spans="2:5" ht="12.75" x14ac:dyDescent="0.2">
      <c r="B540" s="179" t="s">
        <v>784</v>
      </c>
      <c r="C540" s="180" t="s">
        <v>578</v>
      </c>
      <c r="D540" s="179" t="s">
        <v>216</v>
      </c>
      <c r="E540" s="181">
        <v>0.1</v>
      </c>
    </row>
    <row r="541" spans="2:5" ht="12.75" x14ac:dyDescent="0.2">
      <c r="B541" s="179" t="s">
        <v>785</v>
      </c>
      <c r="C541" s="180" t="s">
        <v>578</v>
      </c>
      <c r="D541" s="179" t="s">
        <v>216</v>
      </c>
      <c r="E541" s="181">
        <v>0.1</v>
      </c>
    </row>
    <row r="542" spans="2:5" ht="12.75" x14ac:dyDescent="0.2">
      <c r="B542" s="179" t="s">
        <v>786</v>
      </c>
      <c r="C542" s="180" t="s">
        <v>578</v>
      </c>
      <c r="D542" s="179" t="s">
        <v>216</v>
      </c>
      <c r="E542" s="181">
        <v>0.1</v>
      </c>
    </row>
    <row r="543" spans="2:5" ht="12.75" x14ac:dyDescent="0.2">
      <c r="B543" s="179" t="s">
        <v>787</v>
      </c>
      <c r="C543" s="180" t="s">
        <v>578</v>
      </c>
      <c r="D543" s="179" t="s">
        <v>216</v>
      </c>
      <c r="E543" s="181">
        <v>0.1</v>
      </c>
    </row>
    <row r="544" spans="2:5" ht="12.75" x14ac:dyDescent="0.2">
      <c r="B544" s="179" t="s">
        <v>788</v>
      </c>
      <c r="C544" s="180" t="s">
        <v>578</v>
      </c>
      <c r="D544" s="179" t="s">
        <v>216</v>
      </c>
      <c r="E544" s="181">
        <v>0.1</v>
      </c>
    </row>
    <row r="545" spans="2:5" ht="12.75" x14ac:dyDescent="0.2">
      <c r="B545" s="179" t="s">
        <v>789</v>
      </c>
      <c r="C545" s="180" t="s">
        <v>578</v>
      </c>
      <c r="D545" s="179" t="s">
        <v>216</v>
      </c>
      <c r="E545" s="181">
        <v>0.1</v>
      </c>
    </row>
    <row r="546" spans="2:5" ht="12.75" x14ac:dyDescent="0.2">
      <c r="B546" s="179" t="s">
        <v>790</v>
      </c>
      <c r="C546" s="180" t="s">
        <v>578</v>
      </c>
      <c r="D546" s="179" t="s">
        <v>216</v>
      </c>
      <c r="E546" s="181">
        <v>0.1</v>
      </c>
    </row>
    <row r="547" spans="2:5" ht="12.75" x14ac:dyDescent="0.2">
      <c r="B547" s="179" t="s">
        <v>791</v>
      </c>
      <c r="C547" s="180" t="s">
        <v>578</v>
      </c>
      <c r="D547" s="179" t="s">
        <v>216</v>
      </c>
      <c r="E547" s="181">
        <v>0.1</v>
      </c>
    </row>
    <row r="548" spans="2:5" ht="12.75" x14ac:dyDescent="0.2">
      <c r="B548" s="179" t="s">
        <v>792</v>
      </c>
      <c r="C548" s="180" t="s">
        <v>578</v>
      </c>
      <c r="D548" s="179" t="s">
        <v>216</v>
      </c>
      <c r="E548" s="181">
        <v>0.1</v>
      </c>
    </row>
    <row r="549" spans="2:5" ht="12.75" x14ac:dyDescent="0.2">
      <c r="B549" s="179" t="s">
        <v>793</v>
      </c>
      <c r="C549" s="180" t="s">
        <v>578</v>
      </c>
      <c r="D549" s="179" t="s">
        <v>216</v>
      </c>
      <c r="E549" s="181">
        <v>0.1</v>
      </c>
    </row>
    <row r="550" spans="2:5" ht="12.75" x14ac:dyDescent="0.2">
      <c r="B550" s="179" t="s">
        <v>794</v>
      </c>
      <c r="C550" s="180" t="s">
        <v>578</v>
      </c>
      <c r="D550" s="179" t="s">
        <v>216</v>
      </c>
      <c r="E550" s="181">
        <v>0.1</v>
      </c>
    </row>
    <row r="551" spans="2:5" ht="12.75" x14ac:dyDescent="0.2">
      <c r="B551" s="179" t="s">
        <v>795</v>
      </c>
      <c r="C551" s="180" t="s">
        <v>578</v>
      </c>
      <c r="D551" s="179" t="s">
        <v>216</v>
      </c>
      <c r="E551" s="181">
        <v>0.1</v>
      </c>
    </row>
    <row r="552" spans="2:5" ht="12.75" x14ac:dyDescent="0.2">
      <c r="B552" s="179" t="s">
        <v>796</v>
      </c>
      <c r="C552" s="180" t="s">
        <v>578</v>
      </c>
      <c r="D552" s="179" t="s">
        <v>216</v>
      </c>
      <c r="E552" s="181">
        <v>0.1</v>
      </c>
    </row>
    <row r="553" spans="2:5" ht="12.75" x14ac:dyDescent="0.2">
      <c r="B553" s="179" t="s">
        <v>797</v>
      </c>
      <c r="C553" s="180" t="s">
        <v>578</v>
      </c>
      <c r="D553" s="179" t="s">
        <v>216</v>
      </c>
      <c r="E553" s="181">
        <v>0.1</v>
      </c>
    </row>
    <row r="554" spans="2:5" ht="12.75" x14ac:dyDescent="0.2">
      <c r="B554" s="179" t="s">
        <v>798</v>
      </c>
      <c r="C554" s="180" t="s">
        <v>578</v>
      </c>
      <c r="D554" s="179" t="s">
        <v>216</v>
      </c>
      <c r="E554" s="181">
        <v>0.1</v>
      </c>
    </row>
    <row r="555" spans="2:5" ht="12.75" x14ac:dyDescent="0.2">
      <c r="B555" s="179" t="s">
        <v>799</v>
      </c>
      <c r="C555" s="180" t="s">
        <v>578</v>
      </c>
      <c r="D555" s="179" t="s">
        <v>216</v>
      </c>
      <c r="E555" s="181">
        <v>0.1</v>
      </c>
    </row>
    <row r="556" spans="2:5" ht="12.75" x14ac:dyDescent="0.2">
      <c r="B556" s="179" t="s">
        <v>800</v>
      </c>
      <c r="C556" s="180" t="s">
        <v>578</v>
      </c>
      <c r="D556" s="179" t="s">
        <v>216</v>
      </c>
      <c r="E556" s="181">
        <v>0.1</v>
      </c>
    </row>
    <row r="557" spans="2:5" ht="12.75" x14ac:dyDescent="0.2">
      <c r="B557" s="179" t="s">
        <v>801</v>
      </c>
      <c r="C557" s="180" t="s">
        <v>578</v>
      </c>
      <c r="D557" s="179" t="s">
        <v>216</v>
      </c>
      <c r="E557" s="181">
        <v>0.1</v>
      </c>
    </row>
    <row r="558" spans="2:5" ht="12.75" x14ac:dyDescent="0.2">
      <c r="B558" s="179" t="s">
        <v>802</v>
      </c>
      <c r="C558" s="180" t="s">
        <v>578</v>
      </c>
      <c r="D558" s="179" t="s">
        <v>216</v>
      </c>
      <c r="E558" s="181">
        <v>0.1</v>
      </c>
    </row>
    <row r="559" spans="2:5" ht="12.75" x14ac:dyDescent="0.2">
      <c r="B559" s="179" t="s">
        <v>803</v>
      </c>
      <c r="C559" s="180" t="s">
        <v>578</v>
      </c>
      <c r="D559" s="179" t="s">
        <v>216</v>
      </c>
      <c r="E559" s="181">
        <v>0.1</v>
      </c>
    </row>
    <row r="560" spans="2:5" ht="12.75" x14ac:dyDescent="0.2">
      <c r="B560" s="179" t="s">
        <v>804</v>
      </c>
      <c r="C560" s="180" t="s">
        <v>578</v>
      </c>
      <c r="D560" s="179" t="s">
        <v>216</v>
      </c>
      <c r="E560" s="181">
        <v>0.1</v>
      </c>
    </row>
    <row r="561" spans="2:5" ht="12.75" x14ac:dyDescent="0.2">
      <c r="B561" s="179" t="s">
        <v>805</v>
      </c>
      <c r="C561" s="180" t="s">
        <v>578</v>
      </c>
      <c r="D561" s="179" t="s">
        <v>216</v>
      </c>
      <c r="E561" s="181">
        <v>0.1</v>
      </c>
    </row>
    <row r="562" spans="2:5" ht="12.75" x14ac:dyDescent="0.2">
      <c r="B562" s="179" t="s">
        <v>806</v>
      </c>
      <c r="C562" s="180" t="s">
        <v>578</v>
      </c>
      <c r="D562" s="179" t="s">
        <v>216</v>
      </c>
      <c r="E562" s="181">
        <v>0.1</v>
      </c>
    </row>
    <row r="563" spans="2:5" ht="12.75" x14ac:dyDescent="0.2">
      <c r="B563" s="179" t="s">
        <v>807</v>
      </c>
      <c r="C563" s="180" t="s">
        <v>578</v>
      </c>
      <c r="D563" s="179" t="s">
        <v>216</v>
      </c>
      <c r="E563" s="181">
        <v>0.1</v>
      </c>
    </row>
    <row r="564" spans="2:5" ht="12.75" x14ac:dyDescent="0.2">
      <c r="B564" s="179" t="s">
        <v>808</v>
      </c>
      <c r="C564" s="180" t="s">
        <v>578</v>
      </c>
      <c r="D564" s="179" t="s">
        <v>216</v>
      </c>
      <c r="E564" s="181">
        <v>0.1</v>
      </c>
    </row>
    <row r="565" spans="2:5" ht="12.75" x14ac:dyDescent="0.2">
      <c r="B565" s="179" t="s">
        <v>809</v>
      </c>
      <c r="C565" s="180" t="s">
        <v>578</v>
      </c>
      <c r="D565" s="179" t="s">
        <v>216</v>
      </c>
      <c r="E565" s="181">
        <v>0.1</v>
      </c>
    </row>
    <row r="566" spans="2:5" ht="12.75" x14ac:dyDescent="0.2">
      <c r="B566" s="179" t="s">
        <v>810</v>
      </c>
      <c r="C566" s="180" t="s">
        <v>578</v>
      </c>
      <c r="D566" s="179" t="s">
        <v>216</v>
      </c>
      <c r="E566" s="181">
        <v>0.1</v>
      </c>
    </row>
    <row r="567" spans="2:5" ht="12.75" x14ac:dyDescent="0.2">
      <c r="B567" s="179" t="s">
        <v>811</v>
      </c>
      <c r="C567" s="180" t="s">
        <v>578</v>
      </c>
      <c r="D567" s="179" t="s">
        <v>216</v>
      </c>
      <c r="E567" s="181">
        <v>0.1</v>
      </c>
    </row>
    <row r="568" spans="2:5" ht="12.75" x14ac:dyDescent="0.2">
      <c r="B568" s="179" t="s">
        <v>812</v>
      </c>
      <c r="C568" s="180" t="s">
        <v>578</v>
      </c>
      <c r="D568" s="179" t="s">
        <v>216</v>
      </c>
      <c r="E568" s="181">
        <v>0.1</v>
      </c>
    </row>
    <row r="569" spans="2:5" ht="12.75" x14ac:dyDescent="0.2">
      <c r="B569" s="179" t="s">
        <v>813</v>
      </c>
      <c r="C569" s="180" t="s">
        <v>578</v>
      </c>
      <c r="D569" s="179" t="s">
        <v>216</v>
      </c>
      <c r="E569" s="181">
        <v>0.1</v>
      </c>
    </row>
    <row r="570" spans="2:5" ht="12.75" x14ac:dyDescent="0.2">
      <c r="B570" s="179" t="s">
        <v>814</v>
      </c>
      <c r="C570" s="180" t="s">
        <v>578</v>
      </c>
      <c r="D570" s="179" t="s">
        <v>216</v>
      </c>
      <c r="E570" s="181">
        <v>0.1</v>
      </c>
    </row>
    <row r="571" spans="2:5" ht="12.75" x14ac:dyDescent="0.2">
      <c r="B571" s="179" t="s">
        <v>815</v>
      </c>
      <c r="C571" s="180" t="s">
        <v>578</v>
      </c>
      <c r="D571" s="179" t="s">
        <v>216</v>
      </c>
      <c r="E571" s="181">
        <v>0.1</v>
      </c>
    </row>
    <row r="572" spans="2:5" ht="12.75" x14ac:dyDescent="0.2">
      <c r="B572" s="179" t="s">
        <v>816</v>
      </c>
      <c r="C572" s="180" t="s">
        <v>578</v>
      </c>
      <c r="D572" s="179" t="s">
        <v>216</v>
      </c>
      <c r="E572" s="181">
        <v>0.1</v>
      </c>
    </row>
    <row r="573" spans="2:5" ht="12.75" x14ac:dyDescent="0.2">
      <c r="B573" s="179" t="s">
        <v>817</v>
      </c>
      <c r="C573" s="180" t="s">
        <v>578</v>
      </c>
      <c r="D573" s="179" t="s">
        <v>216</v>
      </c>
      <c r="E573" s="181">
        <v>0.1</v>
      </c>
    </row>
    <row r="574" spans="2:5" ht="12.75" x14ac:dyDescent="0.2">
      <c r="B574" s="179" t="s">
        <v>818</v>
      </c>
      <c r="C574" s="180" t="s">
        <v>578</v>
      </c>
      <c r="D574" s="179" t="s">
        <v>216</v>
      </c>
      <c r="E574" s="181">
        <v>0.1</v>
      </c>
    </row>
    <row r="575" spans="2:5" ht="12.75" x14ac:dyDescent="0.2">
      <c r="B575" s="179" t="s">
        <v>819</v>
      </c>
      <c r="C575" s="180" t="s">
        <v>578</v>
      </c>
      <c r="D575" s="179" t="s">
        <v>216</v>
      </c>
      <c r="E575" s="181">
        <v>0.1</v>
      </c>
    </row>
    <row r="576" spans="2:5" ht="12.75" x14ac:dyDescent="0.2">
      <c r="B576" s="179" t="s">
        <v>820</v>
      </c>
      <c r="C576" s="180" t="s">
        <v>578</v>
      </c>
      <c r="D576" s="179" t="s">
        <v>216</v>
      </c>
      <c r="E576" s="181">
        <v>0.1</v>
      </c>
    </row>
    <row r="577" spans="2:5" ht="12.75" x14ac:dyDescent="0.2">
      <c r="B577" s="179" t="s">
        <v>821</v>
      </c>
      <c r="C577" s="180" t="s">
        <v>578</v>
      </c>
      <c r="D577" s="179" t="s">
        <v>216</v>
      </c>
      <c r="E577" s="181">
        <v>0.1</v>
      </c>
    </row>
    <row r="578" spans="2:5" ht="12.75" x14ac:dyDescent="0.2">
      <c r="B578" s="179" t="s">
        <v>822</v>
      </c>
      <c r="C578" s="180" t="s">
        <v>578</v>
      </c>
      <c r="D578" s="179" t="s">
        <v>216</v>
      </c>
      <c r="E578" s="181">
        <v>0.1</v>
      </c>
    </row>
    <row r="579" spans="2:5" ht="12.75" x14ac:dyDescent="0.2">
      <c r="B579" s="179" t="s">
        <v>823</v>
      </c>
      <c r="C579" s="180" t="s">
        <v>578</v>
      </c>
      <c r="D579" s="179" t="s">
        <v>216</v>
      </c>
      <c r="E579" s="181">
        <v>0.1</v>
      </c>
    </row>
    <row r="580" spans="2:5" ht="12.75" x14ac:dyDescent="0.2">
      <c r="B580" s="179" t="s">
        <v>824</v>
      </c>
      <c r="C580" s="180" t="s">
        <v>578</v>
      </c>
      <c r="D580" s="179" t="s">
        <v>216</v>
      </c>
      <c r="E580" s="181">
        <v>0.1</v>
      </c>
    </row>
    <row r="581" spans="2:5" ht="12.75" x14ac:dyDescent="0.2">
      <c r="B581" s="179" t="s">
        <v>825</v>
      </c>
      <c r="C581" s="180" t="s">
        <v>578</v>
      </c>
      <c r="D581" s="179" t="s">
        <v>216</v>
      </c>
      <c r="E581" s="181">
        <v>0.1</v>
      </c>
    </row>
    <row r="582" spans="2:5" ht="12.75" x14ac:dyDescent="0.2">
      <c r="B582" s="179" t="s">
        <v>826</v>
      </c>
      <c r="C582" s="180" t="s">
        <v>578</v>
      </c>
      <c r="D582" s="179" t="s">
        <v>216</v>
      </c>
      <c r="E582" s="181">
        <v>0.1</v>
      </c>
    </row>
    <row r="583" spans="2:5" ht="12.75" x14ac:dyDescent="0.2">
      <c r="B583" s="179" t="s">
        <v>827</v>
      </c>
      <c r="C583" s="180" t="s">
        <v>578</v>
      </c>
      <c r="D583" s="179" t="s">
        <v>216</v>
      </c>
      <c r="E583" s="181">
        <v>0.1</v>
      </c>
    </row>
    <row r="584" spans="2:5" ht="12.75" x14ac:dyDescent="0.2">
      <c r="B584" s="179" t="s">
        <v>828</v>
      </c>
      <c r="C584" s="180" t="s">
        <v>578</v>
      </c>
      <c r="D584" s="179" t="s">
        <v>216</v>
      </c>
      <c r="E584" s="181">
        <v>0.1</v>
      </c>
    </row>
    <row r="585" spans="2:5" ht="12.75" x14ac:dyDescent="0.2">
      <c r="B585" s="179" t="s">
        <v>829</v>
      </c>
      <c r="C585" s="180" t="s">
        <v>578</v>
      </c>
      <c r="D585" s="179" t="s">
        <v>216</v>
      </c>
      <c r="E585" s="181">
        <v>0.1</v>
      </c>
    </row>
    <row r="586" spans="2:5" ht="12.75" x14ac:dyDescent="0.2">
      <c r="B586" s="179" t="s">
        <v>830</v>
      </c>
      <c r="C586" s="180" t="s">
        <v>578</v>
      </c>
      <c r="D586" s="179" t="s">
        <v>216</v>
      </c>
      <c r="E586" s="181">
        <v>0.1</v>
      </c>
    </row>
    <row r="587" spans="2:5" ht="12.75" x14ac:dyDescent="0.2">
      <c r="B587" s="179" t="s">
        <v>831</v>
      </c>
      <c r="C587" s="180" t="s">
        <v>578</v>
      </c>
      <c r="D587" s="179" t="s">
        <v>216</v>
      </c>
      <c r="E587" s="181">
        <v>0.1</v>
      </c>
    </row>
    <row r="588" spans="2:5" ht="12.75" x14ac:dyDescent="0.2">
      <c r="B588" s="179" t="s">
        <v>832</v>
      </c>
      <c r="C588" s="180" t="s">
        <v>578</v>
      </c>
      <c r="D588" s="179" t="s">
        <v>216</v>
      </c>
      <c r="E588" s="181">
        <v>0.1</v>
      </c>
    </row>
    <row r="589" spans="2:5" ht="12.75" x14ac:dyDescent="0.2">
      <c r="B589" s="179" t="s">
        <v>833</v>
      </c>
      <c r="C589" s="180" t="s">
        <v>578</v>
      </c>
      <c r="D589" s="179" t="s">
        <v>216</v>
      </c>
      <c r="E589" s="181">
        <v>0.1</v>
      </c>
    </row>
    <row r="590" spans="2:5" ht="12.75" x14ac:dyDescent="0.2">
      <c r="B590" s="179" t="s">
        <v>834</v>
      </c>
      <c r="C590" s="180" t="s">
        <v>578</v>
      </c>
      <c r="D590" s="179" t="s">
        <v>216</v>
      </c>
      <c r="E590" s="181">
        <v>0.1</v>
      </c>
    </row>
    <row r="591" spans="2:5" ht="12.75" x14ac:dyDescent="0.2">
      <c r="B591" s="179" t="s">
        <v>835</v>
      </c>
      <c r="C591" s="180" t="s">
        <v>578</v>
      </c>
      <c r="D591" s="179" t="s">
        <v>216</v>
      </c>
      <c r="E591" s="181">
        <v>0.1</v>
      </c>
    </row>
    <row r="592" spans="2:5" ht="12.75" x14ac:dyDescent="0.2">
      <c r="B592" s="179" t="s">
        <v>836</v>
      </c>
      <c r="C592" s="180" t="s">
        <v>578</v>
      </c>
      <c r="D592" s="179" t="s">
        <v>216</v>
      </c>
      <c r="E592" s="181">
        <v>0.1</v>
      </c>
    </row>
    <row r="593" spans="2:5" ht="12.75" x14ac:dyDescent="0.2">
      <c r="B593" s="179" t="s">
        <v>837</v>
      </c>
      <c r="C593" s="180" t="s">
        <v>578</v>
      </c>
      <c r="D593" s="179" t="s">
        <v>216</v>
      </c>
      <c r="E593" s="181">
        <v>0.1</v>
      </c>
    </row>
    <row r="594" spans="2:5" ht="12.75" x14ac:dyDescent="0.2">
      <c r="B594" s="179" t="s">
        <v>838</v>
      </c>
      <c r="C594" s="180" t="s">
        <v>578</v>
      </c>
      <c r="D594" s="179" t="s">
        <v>216</v>
      </c>
      <c r="E594" s="181">
        <v>0.1</v>
      </c>
    </row>
    <row r="595" spans="2:5" ht="12.75" x14ac:dyDescent="0.2">
      <c r="B595" s="179" t="s">
        <v>839</v>
      </c>
      <c r="C595" s="180" t="s">
        <v>578</v>
      </c>
      <c r="D595" s="179" t="s">
        <v>216</v>
      </c>
      <c r="E595" s="181">
        <v>0.1</v>
      </c>
    </row>
    <row r="596" spans="2:5" ht="12.75" x14ac:dyDescent="0.2">
      <c r="B596" s="179" t="s">
        <v>840</v>
      </c>
      <c r="C596" s="180" t="s">
        <v>578</v>
      </c>
      <c r="D596" s="179" t="s">
        <v>216</v>
      </c>
      <c r="E596" s="181">
        <v>0.1</v>
      </c>
    </row>
    <row r="597" spans="2:5" ht="12.75" x14ac:dyDescent="0.2">
      <c r="B597" s="179" t="s">
        <v>841</v>
      </c>
      <c r="C597" s="180" t="s">
        <v>578</v>
      </c>
      <c r="D597" s="179" t="s">
        <v>216</v>
      </c>
      <c r="E597" s="181">
        <v>0.1</v>
      </c>
    </row>
    <row r="598" spans="2:5" ht="12.75" x14ac:dyDescent="0.2">
      <c r="B598" s="179" t="s">
        <v>842</v>
      </c>
      <c r="C598" s="180" t="s">
        <v>578</v>
      </c>
      <c r="D598" s="179" t="s">
        <v>216</v>
      </c>
      <c r="E598" s="181">
        <v>0.1</v>
      </c>
    </row>
    <row r="599" spans="2:5" ht="12.75" x14ac:dyDescent="0.2">
      <c r="B599" s="179" t="s">
        <v>843</v>
      </c>
      <c r="C599" s="180" t="s">
        <v>578</v>
      </c>
      <c r="D599" s="179" t="s">
        <v>216</v>
      </c>
      <c r="E599" s="181">
        <v>0.1</v>
      </c>
    </row>
    <row r="600" spans="2:5" ht="12.75" x14ac:dyDescent="0.2">
      <c r="B600" s="179" t="s">
        <v>844</v>
      </c>
      <c r="C600" s="180" t="s">
        <v>578</v>
      </c>
      <c r="D600" s="179" t="s">
        <v>216</v>
      </c>
      <c r="E600" s="181">
        <v>0.1</v>
      </c>
    </row>
    <row r="601" spans="2:5" ht="12.75" x14ac:dyDescent="0.2">
      <c r="B601" s="179" t="s">
        <v>845</v>
      </c>
      <c r="C601" s="180" t="s">
        <v>578</v>
      </c>
      <c r="D601" s="179" t="s">
        <v>216</v>
      </c>
      <c r="E601" s="181">
        <v>0.1</v>
      </c>
    </row>
    <row r="602" spans="2:5" ht="12.75" x14ac:dyDescent="0.2">
      <c r="B602" s="179" t="s">
        <v>846</v>
      </c>
      <c r="C602" s="180" t="s">
        <v>578</v>
      </c>
      <c r="D602" s="179" t="s">
        <v>216</v>
      </c>
      <c r="E602" s="181">
        <v>0.1</v>
      </c>
    </row>
    <row r="603" spans="2:5" ht="12.75" x14ac:dyDescent="0.2">
      <c r="B603" s="179" t="s">
        <v>847</v>
      </c>
      <c r="C603" s="180" t="s">
        <v>578</v>
      </c>
      <c r="D603" s="179" t="s">
        <v>216</v>
      </c>
      <c r="E603" s="181">
        <v>0.1</v>
      </c>
    </row>
    <row r="604" spans="2:5" ht="12.75" x14ac:dyDescent="0.2">
      <c r="B604" s="179" t="s">
        <v>848</v>
      </c>
      <c r="C604" s="180" t="s">
        <v>578</v>
      </c>
      <c r="D604" s="179" t="s">
        <v>216</v>
      </c>
      <c r="E604" s="181">
        <v>0.1</v>
      </c>
    </row>
    <row r="605" spans="2:5" ht="12.75" x14ac:dyDescent="0.2">
      <c r="B605" s="179" t="s">
        <v>849</v>
      </c>
      <c r="C605" s="180" t="s">
        <v>578</v>
      </c>
      <c r="D605" s="179" t="s">
        <v>216</v>
      </c>
      <c r="E605" s="181">
        <v>0.1</v>
      </c>
    </row>
    <row r="606" spans="2:5" ht="12.75" x14ac:dyDescent="0.2">
      <c r="B606" s="179" t="s">
        <v>850</v>
      </c>
      <c r="C606" s="180" t="s">
        <v>578</v>
      </c>
      <c r="D606" s="179" t="s">
        <v>216</v>
      </c>
      <c r="E606" s="181">
        <v>0.1</v>
      </c>
    </row>
    <row r="607" spans="2:5" ht="12.75" x14ac:dyDescent="0.2">
      <c r="B607" s="179" t="s">
        <v>851</v>
      </c>
      <c r="C607" s="180" t="s">
        <v>578</v>
      </c>
      <c r="D607" s="179" t="s">
        <v>216</v>
      </c>
      <c r="E607" s="181">
        <v>0.1</v>
      </c>
    </row>
    <row r="608" spans="2:5" ht="12.75" x14ac:dyDescent="0.2">
      <c r="B608" s="179" t="s">
        <v>852</v>
      </c>
      <c r="C608" s="180" t="s">
        <v>578</v>
      </c>
      <c r="D608" s="179" t="s">
        <v>216</v>
      </c>
      <c r="E608" s="181">
        <v>0.1</v>
      </c>
    </row>
    <row r="609" spans="2:5" ht="12.75" x14ac:dyDescent="0.2">
      <c r="B609" s="179" t="s">
        <v>853</v>
      </c>
      <c r="C609" s="180" t="s">
        <v>578</v>
      </c>
      <c r="D609" s="179" t="s">
        <v>216</v>
      </c>
      <c r="E609" s="181">
        <v>0.1</v>
      </c>
    </row>
    <row r="610" spans="2:5" ht="12.75" x14ac:dyDescent="0.2">
      <c r="B610" s="179" t="s">
        <v>854</v>
      </c>
      <c r="C610" s="180" t="s">
        <v>578</v>
      </c>
      <c r="D610" s="179" t="s">
        <v>216</v>
      </c>
      <c r="E610" s="181">
        <v>0.1</v>
      </c>
    </row>
    <row r="611" spans="2:5" ht="12.75" x14ac:dyDescent="0.2">
      <c r="B611" s="179" t="s">
        <v>855</v>
      </c>
      <c r="C611" s="180" t="s">
        <v>578</v>
      </c>
      <c r="D611" s="179" t="s">
        <v>216</v>
      </c>
      <c r="E611" s="181">
        <v>0.1</v>
      </c>
    </row>
    <row r="612" spans="2:5" ht="12.75" x14ac:dyDescent="0.2">
      <c r="B612" s="179" t="s">
        <v>856</v>
      </c>
      <c r="C612" s="180" t="s">
        <v>578</v>
      </c>
      <c r="D612" s="179" t="s">
        <v>216</v>
      </c>
      <c r="E612" s="181">
        <v>0.1</v>
      </c>
    </row>
    <row r="613" spans="2:5" ht="12.75" x14ac:dyDescent="0.2">
      <c r="B613" s="179" t="s">
        <v>857</v>
      </c>
      <c r="C613" s="180" t="s">
        <v>578</v>
      </c>
      <c r="D613" s="179" t="s">
        <v>216</v>
      </c>
      <c r="E613" s="181">
        <v>0.1</v>
      </c>
    </row>
    <row r="614" spans="2:5" ht="12.75" x14ac:dyDescent="0.2">
      <c r="B614" s="179" t="s">
        <v>858</v>
      </c>
      <c r="C614" s="180" t="s">
        <v>578</v>
      </c>
      <c r="D614" s="179" t="s">
        <v>216</v>
      </c>
      <c r="E614" s="181">
        <v>0.1</v>
      </c>
    </row>
    <row r="615" spans="2:5" ht="12.75" x14ac:dyDescent="0.2">
      <c r="B615" s="179" t="s">
        <v>859</v>
      </c>
      <c r="C615" s="180" t="s">
        <v>578</v>
      </c>
      <c r="D615" s="179" t="s">
        <v>216</v>
      </c>
      <c r="E615" s="181">
        <v>0.1</v>
      </c>
    </row>
    <row r="616" spans="2:5" ht="12.75" x14ac:dyDescent="0.2">
      <c r="B616" s="179" t="s">
        <v>860</v>
      </c>
      <c r="C616" s="180" t="s">
        <v>578</v>
      </c>
      <c r="D616" s="179" t="s">
        <v>216</v>
      </c>
      <c r="E616" s="181">
        <v>0.1</v>
      </c>
    </row>
    <row r="617" spans="2:5" ht="12.75" x14ac:dyDescent="0.2">
      <c r="B617" s="179" t="s">
        <v>861</v>
      </c>
      <c r="C617" s="180" t="s">
        <v>578</v>
      </c>
      <c r="D617" s="179" t="s">
        <v>216</v>
      </c>
      <c r="E617" s="181">
        <v>0.1</v>
      </c>
    </row>
    <row r="618" spans="2:5" ht="12.75" x14ac:dyDescent="0.2">
      <c r="B618" s="179" t="s">
        <v>862</v>
      </c>
      <c r="C618" s="180" t="s">
        <v>578</v>
      </c>
      <c r="D618" s="179" t="s">
        <v>216</v>
      </c>
      <c r="E618" s="181">
        <v>0.1</v>
      </c>
    </row>
    <row r="619" spans="2:5" ht="12.75" x14ac:dyDescent="0.2">
      <c r="B619" s="179" t="s">
        <v>863</v>
      </c>
      <c r="C619" s="180" t="s">
        <v>578</v>
      </c>
      <c r="D619" s="179" t="s">
        <v>216</v>
      </c>
      <c r="E619" s="181">
        <v>0.1</v>
      </c>
    </row>
    <row r="620" spans="2:5" ht="12.75" x14ac:dyDescent="0.2">
      <c r="B620" s="179" t="s">
        <v>864</v>
      </c>
      <c r="C620" s="180" t="s">
        <v>578</v>
      </c>
      <c r="D620" s="179" t="s">
        <v>216</v>
      </c>
      <c r="E620" s="181">
        <v>0.1</v>
      </c>
    </row>
    <row r="621" spans="2:5" ht="12.75" x14ac:dyDescent="0.2">
      <c r="B621" s="179" t="s">
        <v>865</v>
      </c>
      <c r="C621" s="180" t="s">
        <v>578</v>
      </c>
      <c r="D621" s="179" t="s">
        <v>216</v>
      </c>
      <c r="E621" s="181">
        <v>0.1</v>
      </c>
    </row>
    <row r="622" spans="2:5" ht="12.75" x14ac:dyDescent="0.2">
      <c r="B622" s="179" t="s">
        <v>866</v>
      </c>
      <c r="C622" s="180" t="s">
        <v>578</v>
      </c>
      <c r="D622" s="179" t="s">
        <v>216</v>
      </c>
      <c r="E622" s="181">
        <v>0.1</v>
      </c>
    </row>
    <row r="623" spans="2:5" ht="12.75" x14ac:dyDescent="0.2">
      <c r="B623" s="179" t="s">
        <v>867</v>
      </c>
      <c r="C623" s="180" t="s">
        <v>578</v>
      </c>
      <c r="D623" s="179" t="s">
        <v>216</v>
      </c>
      <c r="E623" s="181">
        <v>0.1</v>
      </c>
    </row>
    <row r="624" spans="2:5" ht="12.75" x14ac:dyDescent="0.2">
      <c r="B624" s="179" t="s">
        <v>868</v>
      </c>
      <c r="C624" s="180" t="s">
        <v>578</v>
      </c>
      <c r="D624" s="179" t="s">
        <v>216</v>
      </c>
      <c r="E624" s="181">
        <v>0.1</v>
      </c>
    </row>
    <row r="625" spans="2:5" ht="12.75" x14ac:dyDescent="0.2">
      <c r="B625" s="179" t="s">
        <v>869</v>
      </c>
      <c r="C625" s="180" t="s">
        <v>578</v>
      </c>
      <c r="D625" s="179" t="s">
        <v>216</v>
      </c>
      <c r="E625" s="181">
        <v>0.1</v>
      </c>
    </row>
    <row r="626" spans="2:5" ht="12.75" x14ac:dyDescent="0.2">
      <c r="B626" s="179" t="s">
        <v>870</v>
      </c>
      <c r="C626" s="180" t="s">
        <v>578</v>
      </c>
      <c r="D626" s="179" t="s">
        <v>216</v>
      </c>
      <c r="E626" s="181">
        <v>0.1</v>
      </c>
    </row>
    <row r="627" spans="2:5" ht="12.75" x14ac:dyDescent="0.2">
      <c r="B627" s="179" t="s">
        <v>871</v>
      </c>
      <c r="C627" s="180" t="s">
        <v>578</v>
      </c>
      <c r="D627" s="179" t="s">
        <v>216</v>
      </c>
      <c r="E627" s="181">
        <v>0.1</v>
      </c>
    </row>
    <row r="628" spans="2:5" ht="12.75" x14ac:dyDescent="0.2">
      <c r="B628" s="179" t="s">
        <v>872</v>
      </c>
      <c r="C628" s="180" t="s">
        <v>578</v>
      </c>
      <c r="D628" s="179" t="s">
        <v>216</v>
      </c>
      <c r="E628" s="181">
        <v>0.1</v>
      </c>
    </row>
    <row r="629" spans="2:5" ht="12.75" x14ac:dyDescent="0.2">
      <c r="B629" s="179" t="s">
        <v>873</v>
      </c>
      <c r="C629" s="180" t="s">
        <v>578</v>
      </c>
      <c r="D629" s="179" t="s">
        <v>216</v>
      </c>
      <c r="E629" s="181">
        <v>0.1</v>
      </c>
    </row>
    <row r="630" spans="2:5" ht="12.75" x14ac:dyDescent="0.2">
      <c r="B630" s="179" t="s">
        <v>874</v>
      </c>
      <c r="C630" s="180" t="s">
        <v>578</v>
      </c>
      <c r="D630" s="179" t="s">
        <v>216</v>
      </c>
      <c r="E630" s="181">
        <v>0.1</v>
      </c>
    </row>
    <row r="631" spans="2:5" ht="12.75" x14ac:dyDescent="0.2">
      <c r="B631" s="179" t="s">
        <v>875</v>
      </c>
      <c r="C631" s="180" t="s">
        <v>578</v>
      </c>
      <c r="D631" s="179" t="s">
        <v>216</v>
      </c>
      <c r="E631" s="181">
        <v>0.1</v>
      </c>
    </row>
    <row r="632" spans="2:5" ht="12.75" x14ac:dyDescent="0.2">
      <c r="B632" s="179" t="s">
        <v>876</v>
      </c>
      <c r="C632" s="180" t="s">
        <v>578</v>
      </c>
      <c r="D632" s="179" t="s">
        <v>216</v>
      </c>
      <c r="E632" s="181">
        <v>0.1</v>
      </c>
    </row>
    <row r="633" spans="2:5" ht="12.75" x14ac:dyDescent="0.2">
      <c r="B633" s="179" t="s">
        <v>877</v>
      </c>
      <c r="C633" s="180" t="s">
        <v>578</v>
      </c>
      <c r="D633" s="179" t="s">
        <v>216</v>
      </c>
      <c r="E633" s="181">
        <v>0.1</v>
      </c>
    </row>
    <row r="634" spans="2:5" ht="12.75" x14ac:dyDescent="0.2">
      <c r="B634" s="179" t="s">
        <v>878</v>
      </c>
      <c r="C634" s="180" t="s">
        <v>578</v>
      </c>
      <c r="D634" s="179" t="s">
        <v>216</v>
      </c>
      <c r="E634" s="181">
        <v>0.1</v>
      </c>
    </row>
    <row r="635" spans="2:5" ht="12.75" x14ac:dyDescent="0.2">
      <c r="B635" s="179" t="s">
        <v>879</v>
      </c>
      <c r="C635" s="180" t="s">
        <v>578</v>
      </c>
      <c r="D635" s="179" t="s">
        <v>216</v>
      </c>
      <c r="E635" s="181">
        <v>0.1</v>
      </c>
    </row>
    <row r="636" spans="2:5" ht="12.75" x14ac:dyDescent="0.2">
      <c r="B636" s="179" t="s">
        <v>880</v>
      </c>
      <c r="C636" s="180" t="s">
        <v>578</v>
      </c>
      <c r="D636" s="179" t="s">
        <v>216</v>
      </c>
      <c r="E636" s="181">
        <v>0.1</v>
      </c>
    </row>
    <row r="637" spans="2:5" ht="12.75" x14ac:dyDescent="0.2">
      <c r="B637" s="179" t="s">
        <v>881</v>
      </c>
      <c r="C637" s="180" t="s">
        <v>578</v>
      </c>
      <c r="D637" s="179" t="s">
        <v>216</v>
      </c>
      <c r="E637" s="181">
        <v>0.1</v>
      </c>
    </row>
    <row r="638" spans="2:5" ht="12.75" x14ac:dyDescent="0.2">
      <c r="B638" s="179" t="s">
        <v>882</v>
      </c>
      <c r="C638" s="180" t="s">
        <v>578</v>
      </c>
      <c r="D638" s="179" t="s">
        <v>216</v>
      </c>
      <c r="E638" s="181">
        <v>0.1</v>
      </c>
    </row>
    <row r="639" spans="2:5" ht="12.75" x14ac:dyDescent="0.2">
      <c r="B639" s="179" t="s">
        <v>883</v>
      </c>
      <c r="C639" s="180" t="s">
        <v>578</v>
      </c>
      <c r="D639" s="179" t="s">
        <v>216</v>
      </c>
      <c r="E639" s="181">
        <v>0.1</v>
      </c>
    </row>
    <row r="640" spans="2:5" ht="12.75" x14ac:dyDescent="0.2">
      <c r="B640" s="179" t="s">
        <v>884</v>
      </c>
      <c r="C640" s="180" t="s">
        <v>578</v>
      </c>
      <c r="D640" s="179" t="s">
        <v>216</v>
      </c>
      <c r="E640" s="181">
        <v>0.1</v>
      </c>
    </row>
    <row r="641" spans="2:5" ht="12.75" x14ac:dyDescent="0.2">
      <c r="B641" s="179" t="s">
        <v>885</v>
      </c>
      <c r="C641" s="180" t="s">
        <v>578</v>
      </c>
      <c r="D641" s="179" t="s">
        <v>216</v>
      </c>
      <c r="E641" s="181">
        <v>0.1</v>
      </c>
    </row>
    <row r="642" spans="2:5" ht="12.75" x14ac:dyDescent="0.2">
      <c r="B642" s="179" t="s">
        <v>886</v>
      </c>
      <c r="C642" s="180" t="s">
        <v>578</v>
      </c>
      <c r="D642" s="179" t="s">
        <v>216</v>
      </c>
      <c r="E642" s="181">
        <v>0.1</v>
      </c>
    </row>
    <row r="643" spans="2:5" ht="12.75" x14ac:dyDescent="0.2">
      <c r="B643" s="179" t="s">
        <v>887</v>
      </c>
      <c r="C643" s="180" t="s">
        <v>578</v>
      </c>
      <c r="D643" s="179" t="s">
        <v>216</v>
      </c>
      <c r="E643" s="181">
        <v>0.1</v>
      </c>
    </row>
    <row r="644" spans="2:5" ht="12.75" x14ac:dyDescent="0.2">
      <c r="B644" s="179" t="s">
        <v>888</v>
      </c>
      <c r="C644" s="180" t="s">
        <v>889</v>
      </c>
      <c r="D644" s="179" t="s">
        <v>214</v>
      </c>
      <c r="E644" s="181">
        <v>0.1</v>
      </c>
    </row>
    <row r="645" spans="2:5" ht="12.75" x14ac:dyDescent="0.2">
      <c r="B645" s="179" t="s">
        <v>890</v>
      </c>
      <c r="C645" s="180" t="s">
        <v>891</v>
      </c>
      <c r="D645" s="179" t="s">
        <v>214</v>
      </c>
      <c r="E645" s="181">
        <v>0.1</v>
      </c>
    </row>
    <row r="646" spans="2:5" ht="12.75" x14ac:dyDescent="0.2">
      <c r="B646" s="179" t="s">
        <v>892</v>
      </c>
      <c r="C646" s="180" t="s">
        <v>893</v>
      </c>
      <c r="D646" s="179" t="s">
        <v>214</v>
      </c>
      <c r="E646" s="181">
        <v>0.5</v>
      </c>
    </row>
    <row r="647" spans="2:5" ht="12.75" x14ac:dyDescent="0.2">
      <c r="B647" s="179" t="s">
        <v>894</v>
      </c>
      <c r="C647" s="180" t="s">
        <v>893</v>
      </c>
      <c r="D647" s="179" t="s">
        <v>216</v>
      </c>
      <c r="E647" s="181">
        <v>0.5</v>
      </c>
    </row>
    <row r="648" spans="2:5" ht="12.75" x14ac:dyDescent="0.2">
      <c r="B648" s="179" t="s">
        <v>895</v>
      </c>
      <c r="C648" s="180" t="s">
        <v>896</v>
      </c>
      <c r="D648" s="179" t="s">
        <v>214</v>
      </c>
      <c r="E648" s="181">
        <v>0.5</v>
      </c>
    </row>
    <row r="649" spans="2:5" ht="12.75" x14ac:dyDescent="0.2">
      <c r="B649" s="179" t="s">
        <v>897</v>
      </c>
      <c r="C649" s="180" t="s">
        <v>896</v>
      </c>
      <c r="D649" s="179" t="s">
        <v>216</v>
      </c>
      <c r="E649" s="181">
        <v>0.5</v>
      </c>
    </row>
    <row r="650" spans="2:5" ht="12.75" x14ac:dyDescent="0.2">
      <c r="B650" s="179" t="s">
        <v>898</v>
      </c>
      <c r="C650" s="180" t="s">
        <v>896</v>
      </c>
      <c r="D650" s="179" t="s">
        <v>216</v>
      </c>
      <c r="E650" s="181">
        <v>0.5</v>
      </c>
    </row>
    <row r="651" spans="2:5" ht="12.75" x14ac:dyDescent="0.2">
      <c r="B651" s="179" t="s">
        <v>899</v>
      </c>
      <c r="C651" s="180" t="s">
        <v>896</v>
      </c>
      <c r="D651" s="179" t="s">
        <v>216</v>
      </c>
      <c r="E651" s="181">
        <v>0.5</v>
      </c>
    </row>
    <row r="652" spans="2:5" ht="12.75" x14ac:dyDescent="0.2">
      <c r="B652" s="179" t="s">
        <v>900</v>
      </c>
      <c r="C652" s="180" t="s">
        <v>896</v>
      </c>
      <c r="D652" s="179" t="s">
        <v>216</v>
      </c>
      <c r="E652" s="181">
        <v>0.5</v>
      </c>
    </row>
    <row r="653" spans="2:5" ht="12.75" x14ac:dyDescent="0.2">
      <c r="B653" s="179" t="s">
        <v>901</v>
      </c>
      <c r="C653" s="180" t="s">
        <v>896</v>
      </c>
      <c r="D653" s="179" t="s">
        <v>216</v>
      </c>
      <c r="E653" s="181">
        <v>0.5</v>
      </c>
    </row>
    <row r="654" spans="2:5" ht="12.75" x14ac:dyDescent="0.2">
      <c r="B654" s="179" t="s">
        <v>902</v>
      </c>
      <c r="C654" s="180" t="s">
        <v>896</v>
      </c>
      <c r="D654" s="179" t="s">
        <v>216</v>
      </c>
      <c r="E654" s="181">
        <v>0.5</v>
      </c>
    </row>
    <row r="655" spans="2:5" ht="12.75" x14ac:dyDescent="0.2">
      <c r="B655" s="179" t="s">
        <v>903</v>
      </c>
      <c r="C655" s="180" t="s">
        <v>896</v>
      </c>
      <c r="D655" s="179" t="s">
        <v>216</v>
      </c>
      <c r="E655" s="181">
        <v>0.5</v>
      </c>
    </row>
    <row r="656" spans="2:5" ht="12.75" x14ac:dyDescent="0.2">
      <c r="B656" s="179" t="s">
        <v>904</v>
      </c>
      <c r="C656" s="180" t="s">
        <v>896</v>
      </c>
      <c r="D656" s="179" t="s">
        <v>216</v>
      </c>
      <c r="E656" s="181">
        <v>0.5</v>
      </c>
    </row>
    <row r="657" spans="2:5" ht="12.75" x14ac:dyDescent="0.2">
      <c r="B657" s="179" t="s">
        <v>905</v>
      </c>
      <c r="C657" s="180" t="s">
        <v>896</v>
      </c>
      <c r="D657" s="179" t="s">
        <v>216</v>
      </c>
      <c r="E657" s="181">
        <v>0.5</v>
      </c>
    </row>
    <row r="658" spans="2:5" ht="12.75" x14ac:dyDescent="0.2">
      <c r="B658" s="179" t="s">
        <v>906</v>
      </c>
      <c r="C658" s="180" t="s">
        <v>907</v>
      </c>
      <c r="D658" s="179" t="s">
        <v>214</v>
      </c>
      <c r="E658" s="181">
        <v>0.5</v>
      </c>
    </row>
    <row r="659" spans="2:5" ht="12.75" x14ac:dyDescent="0.2">
      <c r="B659" s="179" t="s">
        <v>908</v>
      </c>
      <c r="C659" s="180" t="s">
        <v>907</v>
      </c>
      <c r="D659" s="179" t="s">
        <v>216</v>
      </c>
      <c r="E659" s="181">
        <v>0.5</v>
      </c>
    </row>
    <row r="660" spans="2:5" ht="12.75" x14ac:dyDescent="0.2">
      <c r="B660" s="179" t="s">
        <v>909</v>
      </c>
      <c r="C660" s="180" t="s">
        <v>907</v>
      </c>
      <c r="D660" s="179" t="s">
        <v>216</v>
      </c>
      <c r="E660" s="181">
        <v>0.5</v>
      </c>
    </row>
    <row r="661" spans="2:5" ht="12.75" x14ac:dyDescent="0.2">
      <c r="B661" s="179" t="s">
        <v>910</v>
      </c>
      <c r="C661" s="180" t="s">
        <v>907</v>
      </c>
      <c r="D661" s="179" t="s">
        <v>216</v>
      </c>
      <c r="E661" s="181">
        <v>0.5</v>
      </c>
    </row>
    <row r="662" spans="2:5" ht="12.75" x14ac:dyDescent="0.2">
      <c r="B662" s="179" t="s">
        <v>911</v>
      </c>
      <c r="C662" s="180" t="s">
        <v>912</v>
      </c>
      <c r="D662" s="179" t="s">
        <v>214</v>
      </c>
      <c r="E662" s="181">
        <v>1</v>
      </c>
    </row>
    <row r="663" spans="2:5" ht="12.75" x14ac:dyDescent="0.2">
      <c r="B663" s="179" t="s">
        <v>913</v>
      </c>
      <c r="C663" s="180" t="s">
        <v>912</v>
      </c>
      <c r="D663" s="179" t="s">
        <v>216</v>
      </c>
      <c r="E663" s="181">
        <v>0.5</v>
      </c>
    </row>
    <row r="664" spans="2:5" ht="12.75" x14ac:dyDescent="0.2">
      <c r="B664" s="179" t="s">
        <v>914</v>
      </c>
      <c r="C664" s="180" t="s">
        <v>912</v>
      </c>
      <c r="D664" s="179" t="s">
        <v>216</v>
      </c>
      <c r="E664" s="181">
        <v>0.5</v>
      </c>
    </row>
    <row r="665" spans="2:5" ht="12.75" x14ac:dyDescent="0.2">
      <c r="B665" s="179" t="s">
        <v>915</v>
      </c>
      <c r="C665" s="180" t="s">
        <v>916</v>
      </c>
      <c r="D665" s="179" t="s">
        <v>214</v>
      </c>
      <c r="E665" s="181">
        <v>0.1</v>
      </c>
    </row>
    <row r="666" spans="2:5" ht="12.75" x14ac:dyDescent="0.2">
      <c r="B666" s="179" t="s">
        <v>917</v>
      </c>
      <c r="C666" s="180" t="s">
        <v>916</v>
      </c>
      <c r="D666" s="179" t="s">
        <v>216</v>
      </c>
      <c r="E666" s="181">
        <v>0.1</v>
      </c>
    </row>
    <row r="667" spans="2:5" ht="12.75" x14ac:dyDescent="0.2">
      <c r="B667" s="179" t="s">
        <v>918</v>
      </c>
      <c r="C667" s="180" t="s">
        <v>916</v>
      </c>
      <c r="D667" s="179" t="s">
        <v>216</v>
      </c>
      <c r="E667" s="181">
        <v>0.1</v>
      </c>
    </row>
    <row r="668" spans="2:5" ht="12.75" x14ac:dyDescent="0.2">
      <c r="B668" s="179" t="s">
        <v>919</v>
      </c>
      <c r="C668" s="180" t="s">
        <v>916</v>
      </c>
      <c r="D668" s="179" t="s">
        <v>216</v>
      </c>
      <c r="E668" s="181">
        <v>0.1</v>
      </c>
    </row>
    <row r="669" spans="2:5" ht="12.75" x14ac:dyDescent="0.2">
      <c r="B669" s="179" t="s">
        <v>920</v>
      </c>
      <c r="C669" s="180" t="s">
        <v>916</v>
      </c>
      <c r="D669" s="179" t="s">
        <v>216</v>
      </c>
      <c r="E669" s="181">
        <v>0.1</v>
      </c>
    </row>
    <row r="670" spans="2:5" ht="12.75" x14ac:dyDescent="0.2">
      <c r="B670" s="179" t="s">
        <v>921</v>
      </c>
      <c r="C670" s="180" t="s">
        <v>916</v>
      </c>
      <c r="D670" s="179" t="s">
        <v>216</v>
      </c>
      <c r="E670" s="181">
        <v>0.1</v>
      </c>
    </row>
    <row r="671" spans="2:5" ht="12.75" x14ac:dyDescent="0.2">
      <c r="B671" s="179" t="s">
        <v>922</v>
      </c>
      <c r="C671" s="180" t="s">
        <v>916</v>
      </c>
      <c r="D671" s="179" t="s">
        <v>216</v>
      </c>
      <c r="E671" s="181">
        <v>0.1</v>
      </c>
    </row>
    <row r="672" spans="2:5" ht="12.75" x14ac:dyDescent="0.2">
      <c r="B672" s="179" t="s">
        <v>923</v>
      </c>
      <c r="C672" s="180" t="s">
        <v>916</v>
      </c>
      <c r="D672" s="179" t="s">
        <v>216</v>
      </c>
      <c r="E672" s="181">
        <v>0.1</v>
      </c>
    </row>
    <row r="673" spans="2:5" ht="12.75" x14ac:dyDescent="0.2">
      <c r="B673" s="179" t="s">
        <v>924</v>
      </c>
      <c r="C673" s="180" t="s">
        <v>916</v>
      </c>
      <c r="D673" s="179" t="s">
        <v>216</v>
      </c>
      <c r="E673" s="181">
        <v>0.1</v>
      </c>
    </row>
    <row r="674" spans="2:5" ht="12.75" x14ac:dyDescent="0.2">
      <c r="B674" s="179" t="s">
        <v>925</v>
      </c>
      <c r="C674" s="180" t="s">
        <v>926</v>
      </c>
      <c r="D674" s="179" t="s">
        <v>214</v>
      </c>
      <c r="E674" s="181">
        <v>0.5</v>
      </c>
    </row>
    <row r="675" spans="2:5" ht="12.75" x14ac:dyDescent="0.2">
      <c r="B675" s="179" t="s">
        <v>927</v>
      </c>
      <c r="C675" s="180" t="s">
        <v>926</v>
      </c>
      <c r="D675" s="179" t="s">
        <v>216</v>
      </c>
      <c r="E675" s="181">
        <v>0.5</v>
      </c>
    </row>
    <row r="676" spans="2:5" ht="12.75" x14ac:dyDescent="0.2">
      <c r="B676" s="179" t="s">
        <v>928</v>
      </c>
      <c r="C676" s="180" t="s">
        <v>926</v>
      </c>
      <c r="D676" s="179" t="s">
        <v>216</v>
      </c>
      <c r="E676" s="181">
        <v>0.5</v>
      </c>
    </row>
    <row r="677" spans="2:5" ht="12.75" x14ac:dyDescent="0.2">
      <c r="B677" s="179" t="s">
        <v>929</v>
      </c>
      <c r="C677" s="180" t="s">
        <v>926</v>
      </c>
      <c r="D677" s="179" t="s">
        <v>216</v>
      </c>
      <c r="E677" s="181">
        <v>0.5</v>
      </c>
    </row>
    <row r="678" spans="2:5" ht="12.75" x14ac:dyDescent="0.2">
      <c r="B678" s="179" t="s">
        <v>930</v>
      </c>
      <c r="C678" s="180" t="s">
        <v>926</v>
      </c>
      <c r="D678" s="179" t="s">
        <v>216</v>
      </c>
      <c r="E678" s="181">
        <v>0.5</v>
      </c>
    </row>
    <row r="679" spans="2:5" ht="12.75" x14ac:dyDescent="0.2">
      <c r="B679" s="179" t="s">
        <v>931</v>
      </c>
      <c r="C679" s="180" t="s">
        <v>926</v>
      </c>
      <c r="D679" s="179" t="s">
        <v>216</v>
      </c>
      <c r="E679" s="181">
        <v>0.5</v>
      </c>
    </row>
    <row r="680" spans="2:5" ht="12.75" x14ac:dyDescent="0.2">
      <c r="B680" s="179" t="s">
        <v>932</v>
      </c>
      <c r="C680" s="180" t="s">
        <v>933</v>
      </c>
      <c r="D680" s="179" t="s">
        <v>214</v>
      </c>
      <c r="E680" s="181">
        <v>0.5</v>
      </c>
    </row>
    <row r="681" spans="2:5" ht="12.75" x14ac:dyDescent="0.2">
      <c r="B681" s="179" t="s">
        <v>934</v>
      </c>
      <c r="C681" s="180" t="s">
        <v>933</v>
      </c>
      <c r="D681" s="179" t="s">
        <v>216</v>
      </c>
      <c r="E681" s="181">
        <v>0.5</v>
      </c>
    </row>
    <row r="682" spans="2:5" ht="12.75" x14ac:dyDescent="0.2">
      <c r="B682" s="179" t="s">
        <v>935</v>
      </c>
      <c r="C682" s="180" t="s">
        <v>933</v>
      </c>
      <c r="D682" s="179" t="s">
        <v>216</v>
      </c>
      <c r="E682" s="181">
        <v>0.5</v>
      </c>
    </row>
    <row r="683" spans="2:5" ht="12.75" x14ac:dyDescent="0.2">
      <c r="B683" s="179" t="s">
        <v>936</v>
      </c>
      <c r="C683" s="180" t="s">
        <v>933</v>
      </c>
      <c r="D683" s="179" t="s">
        <v>216</v>
      </c>
      <c r="E683" s="181">
        <v>0.5</v>
      </c>
    </row>
    <row r="684" spans="2:5" ht="12.75" x14ac:dyDescent="0.2">
      <c r="B684" s="179" t="s">
        <v>937</v>
      </c>
      <c r="C684" s="180" t="s">
        <v>933</v>
      </c>
      <c r="D684" s="179" t="s">
        <v>216</v>
      </c>
      <c r="E684" s="181">
        <v>0.5</v>
      </c>
    </row>
    <row r="685" spans="2:5" ht="12.75" x14ac:dyDescent="0.2">
      <c r="B685" s="179" t="s">
        <v>938</v>
      </c>
      <c r="C685" s="180" t="s">
        <v>933</v>
      </c>
      <c r="D685" s="179" t="s">
        <v>216</v>
      </c>
      <c r="E685" s="181">
        <v>0.5</v>
      </c>
    </row>
    <row r="686" spans="2:5" ht="12.75" x14ac:dyDescent="0.2">
      <c r="B686" s="179" t="s">
        <v>939</v>
      </c>
      <c r="C686" s="180" t="s">
        <v>933</v>
      </c>
      <c r="D686" s="179" t="s">
        <v>216</v>
      </c>
      <c r="E686" s="181">
        <v>0.5</v>
      </c>
    </row>
    <row r="687" spans="2:5" ht="12.75" x14ac:dyDescent="0.2">
      <c r="B687" s="179" t="s">
        <v>940</v>
      </c>
      <c r="C687" s="180" t="s">
        <v>933</v>
      </c>
      <c r="D687" s="179" t="s">
        <v>216</v>
      </c>
      <c r="E687" s="181">
        <v>0.5</v>
      </c>
    </row>
    <row r="688" spans="2:5" ht="12.75" x14ac:dyDescent="0.2">
      <c r="B688" s="179" t="s">
        <v>941</v>
      </c>
      <c r="C688" s="180" t="s">
        <v>933</v>
      </c>
      <c r="D688" s="179" t="s">
        <v>216</v>
      </c>
      <c r="E688" s="181">
        <v>0.5</v>
      </c>
    </row>
    <row r="689" spans="2:5" ht="12.75" x14ac:dyDescent="0.2">
      <c r="B689" s="179" t="s">
        <v>942</v>
      </c>
      <c r="C689" s="180" t="s">
        <v>933</v>
      </c>
      <c r="D689" s="179" t="s">
        <v>216</v>
      </c>
      <c r="E689" s="181">
        <v>0.5</v>
      </c>
    </row>
    <row r="690" spans="2:5" ht="12.75" x14ac:dyDescent="0.2">
      <c r="B690" s="179" t="s">
        <v>943</v>
      </c>
      <c r="C690" s="180" t="s">
        <v>933</v>
      </c>
      <c r="D690" s="179" t="s">
        <v>216</v>
      </c>
      <c r="E690" s="181">
        <v>0.5</v>
      </c>
    </row>
    <row r="691" spans="2:5" ht="12.75" x14ac:dyDescent="0.2">
      <c r="B691" s="179" t="s">
        <v>944</v>
      </c>
      <c r="C691" s="180" t="s">
        <v>933</v>
      </c>
      <c r="D691" s="179" t="s">
        <v>216</v>
      </c>
      <c r="E691" s="181">
        <v>0.5</v>
      </c>
    </row>
    <row r="692" spans="2:5" ht="12.75" x14ac:dyDescent="0.2">
      <c r="B692" s="179" t="s">
        <v>945</v>
      </c>
      <c r="C692" s="180" t="s">
        <v>933</v>
      </c>
      <c r="D692" s="179" t="s">
        <v>216</v>
      </c>
      <c r="E692" s="181">
        <v>0.5</v>
      </c>
    </row>
    <row r="693" spans="2:5" ht="12.75" x14ac:dyDescent="0.2">
      <c r="B693" s="179" t="s">
        <v>946</v>
      </c>
      <c r="C693" s="180" t="s">
        <v>933</v>
      </c>
      <c r="D693" s="179" t="s">
        <v>216</v>
      </c>
      <c r="E693" s="181">
        <v>0.5</v>
      </c>
    </row>
    <row r="694" spans="2:5" ht="12.75" x14ac:dyDescent="0.2">
      <c r="B694" s="179" t="s">
        <v>947</v>
      </c>
      <c r="C694" s="180" t="s">
        <v>933</v>
      </c>
      <c r="D694" s="179" t="s">
        <v>216</v>
      </c>
      <c r="E694" s="181">
        <v>0.5</v>
      </c>
    </row>
    <row r="695" spans="2:5" ht="12.75" x14ac:dyDescent="0.2">
      <c r="B695" s="179" t="s">
        <v>948</v>
      </c>
      <c r="C695" s="180" t="s">
        <v>933</v>
      </c>
      <c r="D695" s="179" t="s">
        <v>216</v>
      </c>
      <c r="E695" s="181">
        <v>0.5</v>
      </c>
    </row>
    <row r="696" spans="2:5" ht="12.75" x14ac:dyDescent="0.2">
      <c r="B696" s="179" t="s">
        <v>949</v>
      </c>
      <c r="C696" s="180" t="s">
        <v>933</v>
      </c>
      <c r="D696" s="179" t="s">
        <v>216</v>
      </c>
      <c r="E696" s="181">
        <v>0.5</v>
      </c>
    </row>
    <row r="697" spans="2:5" ht="12.75" x14ac:dyDescent="0.2">
      <c r="B697" s="179" t="s">
        <v>950</v>
      </c>
      <c r="C697" s="180" t="s">
        <v>933</v>
      </c>
      <c r="D697" s="179" t="s">
        <v>216</v>
      </c>
      <c r="E697" s="181">
        <v>0.5</v>
      </c>
    </row>
    <row r="698" spans="2:5" ht="12.75" x14ac:dyDescent="0.2">
      <c r="B698" s="179" t="s">
        <v>951</v>
      </c>
      <c r="C698" s="180" t="s">
        <v>933</v>
      </c>
      <c r="D698" s="179" t="s">
        <v>216</v>
      </c>
      <c r="E698" s="181">
        <v>0.5</v>
      </c>
    </row>
    <row r="699" spans="2:5" ht="12.75" x14ac:dyDescent="0.2">
      <c r="B699" s="179" t="s">
        <v>952</v>
      </c>
      <c r="C699" s="180" t="s">
        <v>933</v>
      </c>
      <c r="D699" s="179" t="s">
        <v>216</v>
      </c>
      <c r="E699" s="181">
        <v>0.5</v>
      </c>
    </row>
    <row r="700" spans="2:5" ht="12.75" x14ac:dyDescent="0.2">
      <c r="B700" s="179" t="s">
        <v>953</v>
      </c>
      <c r="C700" s="180" t="s">
        <v>933</v>
      </c>
      <c r="D700" s="179" t="s">
        <v>216</v>
      </c>
      <c r="E700" s="181">
        <v>0.5</v>
      </c>
    </row>
    <row r="701" spans="2:5" ht="12.75" x14ac:dyDescent="0.2">
      <c r="B701" s="179" t="s">
        <v>954</v>
      </c>
      <c r="C701" s="180" t="s">
        <v>933</v>
      </c>
      <c r="D701" s="179" t="s">
        <v>216</v>
      </c>
      <c r="E701" s="181">
        <v>0.5</v>
      </c>
    </row>
    <row r="702" spans="2:5" ht="12.75" x14ac:dyDescent="0.2">
      <c r="B702" s="179" t="s">
        <v>955</v>
      </c>
      <c r="C702" s="180" t="s">
        <v>933</v>
      </c>
      <c r="D702" s="179" t="s">
        <v>216</v>
      </c>
      <c r="E702" s="181">
        <v>0.5</v>
      </c>
    </row>
    <row r="703" spans="2:5" ht="12.75" x14ac:dyDescent="0.2">
      <c r="B703" s="179" t="s">
        <v>956</v>
      </c>
      <c r="C703" s="180" t="s">
        <v>933</v>
      </c>
      <c r="D703" s="179" t="s">
        <v>216</v>
      </c>
      <c r="E703" s="181">
        <v>0.5</v>
      </c>
    </row>
    <row r="704" spans="2:5" ht="12.75" x14ac:dyDescent="0.2">
      <c r="B704" s="179" t="s">
        <v>957</v>
      </c>
      <c r="C704" s="180" t="s">
        <v>933</v>
      </c>
      <c r="D704" s="179" t="s">
        <v>216</v>
      </c>
      <c r="E704" s="181">
        <v>0.5</v>
      </c>
    </row>
    <row r="705" spans="2:5" ht="12.75" x14ac:dyDescent="0.2">
      <c r="B705" s="179" t="s">
        <v>958</v>
      </c>
      <c r="C705" s="180" t="s">
        <v>933</v>
      </c>
      <c r="D705" s="179" t="s">
        <v>216</v>
      </c>
      <c r="E705" s="181">
        <v>0.5</v>
      </c>
    </row>
    <row r="706" spans="2:5" ht="12.75" x14ac:dyDescent="0.2">
      <c r="B706" s="179" t="s">
        <v>959</v>
      </c>
      <c r="C706" s="180" t="s">
        <v>933</v>
      </c>
      <c r="D706" s="179" t="s">
        <v>216</v>
      </c>
      <c r="E706" s="181">
        <v>0.5</v>
      </c>
    </row>
    <row r="707" spans="2:5" ht="12.75" x14ac:dyDescent="0.2">
      <c r="B707" s="179" t="s">
        <v>960</v>
      </c>
      <c r="C707" s="180" t="s">
        <v>961</v>
      </c>
      <c r="D707" s="179" t="s">
        <v>214</v>
      </c>
      <c r="E707" s="181">
        <v>0.5</v>
      </c>
    </row>
    <row r="708" spans="2:5" ht="12.75" x14ac:dyDescent="0.2">
      <c r="B708" s="179" t="s">
        <v>962</v>
      </c>
      <c r="C708" s="180" t="s">
        <v>963</v>
      </c>
      <c r="D708" s="179" t="s">
        <v>214</v>
      </c>
      <c r="E708" s="181">
        <v>0.5</v>
      </c>
    </row>
    <row r="709" spans="2:5" ht="12.75" x14ac:dyDescent="0.2">
      <c r="B709" s="179" t="s">
        <v>964</v>
      </c>
      <c r="C709" s="180" t="s">
        <v>963</v>
      </c>
      <c r="D709" s="179" t="s">
        <v>216</v>
      </c>
      <c r="E709" s="181">
        <v>0.5</v>
      </c>
    </row>
    <row r="710" spans="2:5" ht="12.75" x14ac:dyDescent="0.2">
      <c r="B710" s="179" t="s">
        <v>965</v>
      </c>
      <c r="C710" s="180" t="s">
        <v>963</v>
      </c>
      <c r="D710" s="179" t="s">
        <v>216</v>
      </c>
      <c r="E710" s="181">
        <v>0.5</v>
      </c>
    </row>
    <row r="711" spans="2:5" ht="12.75" x14ac:dyDescent="0.2">
      <c r="B711" s="179" t="s">
        <v>966</v>
      </c>
      <c r="C711" s="180" t="s">
        <v>963</v>
      </c>
      <c r="D711" s="179" t="s">
        <v>216</v>
      </c>
      <c r="E711" s="181">
        <v>0.5</v>
      </c>
    </row>
    <row r="712" spans="2:5" ht="12.75" x14ac:dyDescent="0.2">
      <c r="B712" s="179" t="s">
        <v>967</v>
      </c>
      <c r="C712" s="180" t="s">
        <v>963</v>
      </c>
      <c r="D712" s="179" t="s">
        <v>216</v>
      </c>
      <c r="E712" s="181">
        <v>0.5</v>
      </c>
    </row>
    <row r="713" spans="2:5" ht="12.75" x14ac:dyDescent="0.2">
      <c r="B713" s="179" t="s">
        <v>968</v>
      </c>
      <c r="C713" s="180" t="s">
        <v>969</v>
      </c>
      <c r="D713" s="179" t="s">
        <v>214</v>
      </c>
      <c r="E713" s="181">
        <v>0.5</v>
      </c>
    </row>
    <row r="714" spans="2:5" ht="12.75" x14ac:dyDescent="0.2">
      <c r="B714" s="179" t="s">
        <v>970</v>
      </c>
      <c r="C714" s="180" t="s">
        <v>969</v>
      </c>
      <c r="D714" s="179" t="s">
        <v>214</v>
      </c>
      <c r="E714" s="181">
        <v>0.5</v>
      </c>
    </row>
    <row r="715" spans="2:5" ht="12.75" x14ac:dyDescent="0.2">
      <c r="B715" s="179" t="s">
        <v>971</v>
      </c>
      <c r="C715" s="180" t="s">
        <v>969</v>
      </c>
      <c r="D715" s="179" t="s">
        <v>214</v>
      </c>
      <c r="E715" s="181">
        <v>0.5</v>
      </c>
    </row>
    <row r="716" spans="2:5" ht="12.75" x14ac:dyDescent="0.2">
      <c r="B716" s="179" t="s">
        <v>972</v>
      </c>
      <c r="C716" s="180" t="s">
        <v>969</v>
      </c>
      <c r="D716" s="179" t="s">
        <v>214</v>
      </c>
      <c r="E716" s="181">
        <v>0.5</v>
      </c>
    </row>
    <row r="717" spans="2:5" ht="12.75" x14ac:dyDescent="0.2">
      <c r="B717" s="179" t="s">
        <v>973</v>
      </c>
      <c r="C717" s="180" t="s">
        <v>969</v>
      </c>
      <c r="D717" s="179" t="s">
        <v>214</v>
      </c>
      <c r="E717" s="181">
        <v>0.5</v>
      </c>
    </row>
    <row r="718" spans="2:5" ht="12.75" x14ac:dyDescent="0.2">
      <c r="B718" s="179" t="s">
        <v>974</v>
      </c>
      <c r="C718" s="180" t="s">
        <v>969</v>
      </c>
      <c r="D718" s="179" t="s">
        <v>214</v>
      </c>
      <c r="E718" s="181">
        <v>0.5</v>
      </c>
    </row>
    <row r="719" spans="2:5" ht="12.75" x14ac:dyDescent="0.2">
      <c r="B719" s="179" t="s">
        <v>975</v>
      </c>
      <c r="C719" s="180" t="s">
        <v>969</v>
      </c>
      <c r="D719" s="179" t="s">
        <v>214</v>
      </c>
      <c r="E719" s="181">
        <v>0.5</v>
      </c>
    </row>
    <row r="720" spans="2:5" ht="12.75" x14ac:dyDescent="0.2">
      <c r="B720" s="179" t="s">
        <v>976</v>
      </c>
      <c r="C720" s="180" t="s">
        <v>969</v>
      </c>
      <c r="D720" s="179" t="s">
        <v>214</v>
      </c>
      <c r="E720" s="181">
        <v>0.5</v>
      </c>
    </row>
    <row r="721" spans="2:5" ht="12.75" x14ac:dyDescent="0.2">
      <c r="B721" s="179" t="s">
        <v>977</v>
      </c>
      <c r="C721" s="180" t="s">
        <v>969</v>
      </c>
      <c r="D721" s="179" t="s">
        <v>214</v>
      </c>
      <c r="E721" s="181">
        <v>0.5</v>
      </c>
    </row>
    <row r="722" spans="2:5" ht="12.75" x14ac:dyDescent="0.2">
      <c r="B722" s="179" t="s">
        <v>978</v>
      </c>
      <c r="C722" s="180" t="s">
        <v>969</v>
      </c>
      <c r="D722" s="179" t="s">
        <v>214</v>
      </c>
      <c r="E722" s="181">
        <v>0.5</v>
      </c>
    </row>
    <row r="723" spans="2:5" ht="12.75" x14ac:dyDescent="0.2">
      <c r="B723" s="179" t="s">
        <v>979</v>
      </c>
      <c r="C723" s="180" t="s">
        <v>969</v>
      </c>
      <c r="D723" s="179" t="s">
        <v>214</v>
      </c>
      <c r="E723" s="181">
        <v>0.5</v>
      </c>
    </row>
    <row r="724" spans="2:5" ht="12.75" x14ac:dyDescent="0.2">
      <c r="B724" s="179" t="s">
        <v>980</v>
      </c>
      <c r="C724" s="180" t="s">
        <v>969</v>
      </c>
      <c r="D724" s="179" t="s">
        <v>214</v>
      </c>
      <c r="E724" s="181">
        <v>0.5</v>
      </c>
    </row>
    <row r="725" spans="2:5" ht="12.75" x14ac:dyDescent="0.2">
      <c r="B725" s="179" t="s">
        <v>981</v>
      </c>
      <c r="C725" s="180" t="s">
        <v>969</v>
      </c>
      <c r="D725" s="179" t="s">
        <v>214</v>
      </c>
      <c r="E725" s="181">
        <v>0.5</v>
      </c>
    </row>
    <row r="726" spans="2:5" ht="12.75" x14ac:dyDescent="0.2">
      <c r="B726" s="179" t="s">
        <v>982</v>
      </c>
      <c r="C726" s="180" t="s">
        <v>969</v>
      </c>
      <c r="D726" s="179" t="s">
        <v>214</v>
      </c>
      <c r="E726" s="181">
        <v>0.5</v>
      </c>
    </row>
    <row r="727" spans="2:5" ht="12.75" x14ac:dyDescent="0.2">
      <c r="B727" s="179" t="s">
        <v>983</v>
      </c>
      <c r="C727" s="180" t="s">
        <v>969</v>
      </c>
      <c r="D727" s="179" t="s">
        <v>214</v>
      </c>
      <c r="E727" s="181">
        <v>0.5</v>
      </c>
    </row>
    <row r="728" spans="2:5" ht="12.75" x14ac:dyDescent="0.2">
      <c r="B728" s="179" t="s">
        <v>984</v>
      </c>
      <c r="C728" s="180" t="s">
        <v>969</v>
      </c>
      <c r="D728" s="179" t="s">
        <v>214</v>
      </c>
      <c r="E728" s="181">
        <v>0.5</v>
      </c>
    </row>
    <row r="729" spans="2:5" ht="12.75" x14ac:dyDescent="0.2">
      <c r="B729" s="179" t="s">
        <v>985</v>
      </c>
      <c r="C729" s="180" t="s">
        <v>969</v>
      </c>
      <c r="D729" s="179" t="s">
        <v>214</v>
      </c>
      <c r="E729" s="181">
        <v>0.5</v>
      </c>
    </row>
    <row r="730" spans="2:5" ht="12.75" x14ac:dyDescent="0.2">
      <c r="B730" s="179" t="s">
        <v>986</v>
      </c>
      <c r="C730" s="180" t="s">
        <v>969</v>
      </c>
      <c r="D730" s="179" t="s">
        <v>214</v>
      </c>
      <c r="E730" s="181">
        <v>0.5</v>
      </c>
    </row>
    <row r="731" spans="2:5" ht="12.75" x14ac:dyDescent="0.2">
      <c r="B731" s="179" t="s">
        <v>987</v>
      </c>
      <c r="C731" s="180" t="s">
        <v>969</v>
      </c>
      <c r="D731" s="179" t="s">
        <v>214</v>
      </c>
      <c r="E731" s="181">
        <v>0.5</v>
      </c>
    </row>
    <row r="732" spans="2:5" ht="12.75" x14ac:dyDescent="0.2">
      <c r="B732" s="179" t="s">
        <v>988</v>
      </c>
      <c r="C732" s="180" t="s">
        <v>969</v>
      </c>
      <c r="D732" s="179" t="s">
        <v>214</v>
      </c>
      <c r="E732" s="181">
        <v>0.5</v>
      </c>
    </row>
    <row r="733" spans="2:5" ht="12.75" x14ac:dyDescent="0.2">
      <c r="B733" s="179" t="s">
        <v>989</v>
      </c>
      <c r="C733" s="180" t="s">
        <v>969</v>
      </c>
      <c r="D733" s="179" t="s">
        <v>214</v>
      </c>
      <c r="E733" s="181">
        <v>0.5</v>
      </c>
    </row>
    <row r="734" spans="2:5" ht="12.75" x14ac:dyDescent="0.2">
      <c r="B734" s="179" t="s">
        <v>990</v>
      </c>
      <c r="C734" s="180" t="s">
        <v>969</v>
      </c>
      <c r="D734" s="179" t="s">
        <v>214</v>
      </c>
      <c r="E734" s="181">
        <v>0.5</v>
      </c>
    </row>
    <row r="735" spans="2:5" ht="12.75" x14ac:dyDescent="0.2">
      <c r="B735" s="179" t="s">
        <v>991</v>
      </c>
      <c r="C735" s="180" t="s">
        <v>969</v>
      </c>
      <c r="D735" s="179" t="s">
        <v>214</v>
      </c>
      <c r="E735" s="181">
        <v>0.5</v>
      </c>
    </row>
    <row r="736" spans="2:5" ht="12.75" x14ac:dyDescent="0.2">
      <c r="B736" s="179" t="s">
        <v>992</v>
      </c>
      <c r="C736" s="180" t="s">
        <v>969</v>
      </c>
      <c r="D736" s="179" t="s">
        <v>214</v>
      </c>
      <c r="E736" s="181">
        <v>0.5</v>
      </c>
    </row>
    <row r="737" spans="2:5" ht="12.75" x14ac:dyDescent="0.2">
      <c r="B737" s="179" t="s">
        <v>993</v>
      </c>
      <c r="C737" s="180" t="s">
        <v>969</v>
      </c>
      <c r="D737" s="179" t="s">
        <v>214</v>
      </c>
      <c r="E737" s="181">
        <v>0.5</v>
      </c>
    </row>
    <row r="738" spans="2:5" ht="12.75" x14ac:dyDescent="0.2">
      <c r="B738" s="179" t="s">
        <v>994</v>
      </c>
      <c r="C738" s="180" t="s">
        <v>995</v>
      </c>
      <c r="D738" s="179" t="s">
        <v>214</v>
      </c>
      <c r="E738" s="181">
        <v>0.5</v>
      </c>
    </row>
    <row r="739" spans="2:5" ht="12.75" x14ac:dyDescent="0.2">
      <c r="B739" s="179" t="s">
        <v>996</v>
      </c>
      <c r="C739" s="180" t="s">
        <v>995</v>
      </c>
      <c r="D739" s="179" t="s">
        <v>214</v>
      </c>
      <c r="E739" s="181">
        <v>0.5</v>
      </c>
    </row>
    <row r="740" spans="2:5" ht="12.75" x14ac:dyDescent="0.2">
      <c r="B740" s="179" t="s">
        <v>997</v>
      </c>
      <c r="C740" s="180" t="s">
        <v>995</v>
      </c>
      <c r="D740" s="179" t="s">
        <v>214</v>
      </c>
      <c r="E740" s="181">
        <v>0.5</v>
      </c>
    </row>
    <row r="741" spans="2:5" ht="12.75" x14ac:dyDescent="0.2">
      <c r="B741" s="179" t="s">
        <v>998</v>
      </c>
      <c r="C741" s="180" t="s">
        <v>995</v>
      </c>
      <c r="D741" s="179" t="s">
        <v>214</v>
      </c>
      <c r="E741" s="181">
        <v>0.5</v>
      </c>
    </row>
    <row r="742" spans="2:5" ht="12.75" x14ac:dyDescent="0.2">
      <c r="B742" s="179" t="s">
        <v>999</v>
      </c>
      <c r="C742" s="180" t="s">
        <v>995</v>
      </c>
      <c r="D742" s="179" t="s">
        <v>214</v>
      </c>
      <c r="E742" s="181">
        <v>0.5</v>
      </c>
    </row>
    <row r="743" spans="2:5" ht="12.75" x14ac:dyDescent="0.2">
      <c r="B743" s="179" t="s">
        <v>1000</v>
      </c>
      <c r="C743" s="180" t="s">
        <v>995</v>
      </c>
      <c r="D743" s="179" t="s">
        <v>214</v>
      </c>
      <c r="E743" s="181">
        <v>0.5</v>
      </c>
    </row>
    <row r="744" spans="2:5" ht="12.75" x14ac:dyDescent="0.2">
      <c r="B744" s="179" t="s">
        <v>1001</v>
      </c>
      <c r="C744" s="180" t="s">
        <v>995</v>
      </c>
      <c r="D744" s="179" t="s">
        <v>214</v>
      </c>
      <c r="E744" s="181">
        <v>0.5</v>
      </c>
    </row>
    <row r="745" spans="2:5" ht="12.75" x14ac:dyDescent="0.2">
      <c r="B745" s="179" t="s">
        <v>1002</v>
      </c>
      <c r="C745" s="180" t="s">
        <v>995</v>
      </c>
      <c r="D745" s="179" t="s">
        <v>214</v>
      </c>
      <c r="E745" s="181">
        <v>0.5</v>
      </c>
    </row>
    <row r="746" spans="2:5" ht="12.75" x14ac:dyDescent="0.2">
      <c r="B746" s="179" t="s">
        <v>1003</v>
      </c>
      <c r="C746" s="180" t="s">
        <v>995</v>
      </c>
      <c r="D746" s="179" t="s">
        <v>214</v>
      </c>
      <c r="E746" s="181">
        <v>0.5</v>
      </c>
    </row>
    <row r="747" spans="2:5" ht="12.75" x14ac:dyDescent="0.2">
      <c r="B747" s="179" t="s">
        <v>1004</v>
      </c>
      <c r="C747" s="180" t="s">
        <v>995</v>
      </c>
      <c r="D747" s="179" t="s">
        <v>214</v>
      </c>
      <c r="E747" s="181">
        <v>0.5</v>
      </c>
    </row>
    <row r="748" spans="2:5" ht="12.75" x14ac:dyDescent="0.2">
      <c r="B748" s="179" t="s">
        <v>1005</v>
      </c>
      <c r="C748" s="180" t="s">
        <v>995</v>
      </c>
      <c r="D748" s="179" t="s">
        <v>214</v>
      </c>
      <c r="E748" s="181">
        <v>0.5</v>
      </c>
    </row>
    <row r="749" spans="2:5" ht="12.75" x14ac:dyDescent="0.2">
      <c r="B749" s="179" t="s">
        <v>1006</v>
      </c>
      <c r="C749" s="180" t="s">
        <v>995</v>
      </c>
      <c r="D749" s="179" t="s">
        <v>214</v>
      </c>
      <c r="E749" s="181">
        <v>0.5</v>
      </c>
    </row>
    <row r="750" spans="2:5" ht="12.75" x14ac:dyDescent="0.2">
      <c r="B750" s="179" t="s">
        <v>1007</v>
      </c>
      <c r="C750" s="180" t="s">
        <v>995</v>
      </c>
      <c r="D750" s="179" t="s">
        <v>214</v>
      </c>
      <c r="E750" s="181">
        <v>0.5</v>
      </c>
    </row>
    <row r="751" spans="2:5" ht="12.75" x14ac:dyDescent="0.2">
      <c r="B751" s="179" t="s">
        <v>1008</v>
      </c>
      <c r="C751" s="180" t="s">
        <v>995</v>
      </c>
      <c r="D751" s="179" t="s">
        <v>214</v>
      </c>
      <c r="E751" s="181">
        <v>0.5</v>
      </c>
    </row>
    <row r="752" spans="2:5" ht="12.75" x14ac:dyDescent="0.2">
      <c r="B752" s="179" t="s">
        <v>1009</v>
      </c>
      <c r="C752" s="180" t="s">
        <v>995</v>
      </c>
      <c r="D752" s="179" t="s">
        <v>214</v>
      </c>
      <c r="E752" s="181">
        <v>0.5</v>
      </c>
    </row>
    <row r="753" spans="2:5" ht="12.75" x14ac:dyDescent="0.2">
      <c r="B753" s="179" t="s">
        <v>1010</v>
      </c>
      <c r="C753" s="180" t="s">
        <v>995</v>
      </c>
      <c r="D753" s="179" t="s">
        <v>214</v>
      </c>
      <c r="E753" s="181">
        <v>0.5</v>
      </c>
    </row>
    <row r="754" spans="2:5" ht="12.75" x14ac:dyDescent="0.2">
      <c r="B754" s="179" t="s">
        <v>1011</v>
      </c>
      <c r="C754" s="180" t="s">
        <v>995</v>
      </c>
      <c r="D754" s="179" t="s">
        <v>214</v>
      </c>
      <c r="E754" s="181">
        <v>0.5</v>
      </c>
    </row>
    <row r="755" spans="2:5" ht="12.75" x14ac:dyDescent="0.2">
      <c r="B755" s="179" t="s">
        <v>1012</v>
      </c>
      <c r="C755" s="180" t="s">
        <v>995</v>
      </c>
      <c r="D755" s="179" t="s">
        <v>214</v>
      </c>
      <c r="E755" s="181">
        <v>0.5</v>
      </c>
    </row>
    <row r="756" spans="2:5" ht="12.75" x14ac:dyDescent="0.2">
      <c r="B756" s="179" t="s">
        <v>991</v>
      </c>
      <c r="C756" s="180" t="s">
        <v>995</v>
      </c>
      <c r="D756" s="179" t="s">
        <v>214</v>
      </c>
      <c r="E756" s="181">
        <v>0.5</v>
      </c>
    </row>
    <row r="757" spans="2:5" ht="12.75" x14ac:dyDescent="0.2">
      <c r="B757" s="179" t="s">
        <v>1013</v>
      </c>
      <c r="C757" s="180" t="s">
        <v>1014</v>
      </c>
      <c r="D757" s="179" t="s">
        <v>214</v>
      </c>
      <c r="E757" s="181">
        <v>0.5</v>
      </c>
    </row>
    <row r="758" spans="2:5" ht="12.75" x14ac:dyDescent="0.2">
      <c r="B758" s="179" t="s">
        <v>1015</v>
      </c>
      <c r="C758" s="180" t="s">
        <v>1014</v>
      </c>
      <c r="D758" s="179" t="s">
        <v>216</v>
      </c>
      <c r="E758" s="181">
        <v>0.5</v>
      </c>
    </row>
    <row r="759" spans="2:5" ht="12.75" x14ac:dyDescent="0.2">
      <c r="B759" s="179" t="s">
        <v>1016</v>
      </c>
      <c r="C759" s="180" t="s">
        <v>1014</v>
      </c>
      <c r="D759" s="179" t="s">
        <v>216</v>
      </c>
      <c r="E759" s="181">
        <v>0.5</v>
      </c>
    </row>
    <row r="760" spans="2:5" ht="12.75" x14ac:dyDescent="0.2">
      <c r="B760" s="179" t="s">
        <v>1017</v>
      </c>
      <c r="C760" s="180" t="s">
        <v>1014</v>
      </c>
      <c r="D760" s="179" t="s">
        <v>216</v>
      </c>
      <c r="E760" s="181">
        <v>0.5</v>
      </c>
    </row>
    <row r="761" spans="2:5" ht="12.75" x14ac:dyDescent="0.2">
      <c r="B761" s="179" t="s">
        <v>1018</v>
      </c>
      <c r="C761" s="180" t="s">
        <v>1019</v>
      </c>
      <c r="D761" s="179" t="s">
        <v>214</v>
      </c>
      <c r="E761" s="181">
        <v>0.5</v>
      </c>
    </row>
    <row r="762" spans="2:5" ht="12.75" x14ac:dyDescent="0.2">
      <c r="B762" s="179" t="s">
        <v>1020</v>
      </c>
      <c r="C762" s="180" t="s">
        <v>1019</v>
      </c>
      <c r="D762" s="179" t="s">
        <v>216</v>
      </c>
      <c r="E762" s="181">
        <v>0.5</v>
      </c>
    </row>
    <row r="763" spans="2:5" ht="12.75" x14ac:dyDescent="0.2">
      <c r="B763" s="179" t="s">
        <v>1021</v>
      </c>
      <c r="C763" s="180" t="s">
        <v>1019</v>
      </c>
      <c r="D763" s="179" t="s">
        <v>216</v>
      </c>
      <c r="E763" s="181">
        <v>0.5</v>
      </c>
    </row>
    <row r="764" spans="2:5" ht="12.75" x14ac:dyDescent="0.2">
      <c r="B764" s="179" t="s">
        <v>1022</v>
      </c>
      <c r="C764" s="180" t="s">
        <v>1019</v>
      </c>
      <c r="D764" s="179" t="s">
        <v>216</v>
      </c>
      <c r="E764" s="181">
        <v>0.5</v>
      </c>
    </row>
    <row r="765" spans="2:5" ht="12.75" x14ac:dyDescent="0.2">
      <c r="B765" s="179" t="s">
        <v>1023</v>
      </c>
      <c r="C765" s="180" t="s">
        <v>1024</v>
      </c>
      <c r="D765" s="179" t="s">
        <v>214</v>
      </c>
      <c r="E765" s="181">
        <v>0.5</v>
      </c>
    </row>
    <row r="766" spans="2:5" ht="12.75" x14ac:dyDescent="0.2">
      <c r="B766" s="179" t="s">
        <v>1025</v>
      </c>
      <c r="C766" s="180" t="s">
        <v>1024</v>
      </c>
      <c r="D766" s="179" t="s">
        <v>216</v>
      </c>
      <c r="E766" s="181">
        <v>0.5</v>
      </c>
    </row>
    <row r="767" spans="2:5" ht="12.75" x14ac:dyDescent="0.2">
      <c r="B767" s="179" t="s">
        <v>1026</v>
      </c>
      <c r="C767" s="180" t="s">
        <v>1024</v>
      </c>
      <c r="D767" s="179" t="s">
        <v>216</v>
      </c>
      <c r="E767" s="181">
        <v>0.5</v>
      </c>
    </row>
    <row r="768" spans="2:5" ht="12.75" x14ac:dyDescent="0.2">
      <c r="B768" s="179" t="s">
        <v>1027</v>
      </c>
      <c r="C768" s="180" t="s">
        <v>1024</v>
      </c>
      <c r="D768" s="179" t="s">
        <v>216</v>
      </c>
      <c r="E768" s="181">
        <v>0.5</v>
      </c>
    </row>
    <row r="769" spans="2:5" ht="12.75" x14ac:dyDescent="0.2">
      <c r="B769" s="179" t="s">
        <v>1028</v>
      </c>
      <c r="C769" s="180" t="s">
        <v>1024</v>
      </c>
      <c r="D769" s="179" t="s">
        <v>216</v>
      </c>
      <c r="E769" s="181">
        <v>0.5</v>
      </c>
    </row>
    <row r="770" spans="2:5" ht="12.75" x14ac:dyDescent="0.2">
      <c r="B770" s="179" t="s">
        <v>1029</v>
      </c>
      <c r="C770" s="180" t="s">
        <v>1024</v>
      </c>
      <c r="D770" s="179" t="s">
        <v>216</v>
      </c>
      <c r="E770" s="181">
        <v>0.5</v>
      </c>
    </row>
    <row r="771" spans="2:5" ht="12.75" x14ac:dyDescent="0.2">
      <c r="B771" s="179" t="s">
        <v>1030</v>
      </c>
      <c r="C771" s="180" t="s">
        <v>1024</v>
      </c>
      <c r="D771" s="179" t="s">
        <v>216</v>
      </c>
      <c r="E771" s="181">
        <v>0.5</v>
      </c>
    </row>
    <row r="772" spans="2:5" ht="12.75" x14ac:dyDescent="0.2">
      <c r="B772" s="179" t="s">
        <v>1031</v>
      </c>
      <c r="C772" s="180" t="s">
        <v>1024</v>
      </c>
      <c r="D772" s="179" t="s">
        <v>216</v>
      </c>
      <c r="E772" s="181">
        <v>0.5</v>
      </c>
    </row>
    <row r="773" spans="2:5" ht="12.75" x14ac:dyDescent="0.2">
      <c r="B773" s="179" t="s">
        <v>1032</v>
      </c>
      <c r="C773" s="180" t="s">
        <v>1024</v>
      </c>
      <c r="D773" s="179" t="s">
        <v>216</v>
      </c>
      <c r="E773" s="181">
        <v>0.5</v>
      </c>
    </row>
    <row r="774" spans="2:5" ht="12.75" x14ac:dyDescent="0.2">
      <c r="B774" s="179" t="s">
        <v>1033</v>
      </c>
      <c r="C774" s="180" t="s">
        <v>1024</v>
      </c>
      <c r="D774" s="179" t="s">
        <v>216</v>
      </c>
      <c r="E774" s="181">
        <v>0.5</v>
      </c>
    </row>
    <row r="775" spans="2:5" ht="12.75" x14ac:dyDescent="0.2">
      <c r="B775" s="179" t="s">
        <v>1034</v>
      </c>
      <c r="C775" s="180" t="s">
        <v>1024</v>
      </c>
      <c r="D775" s="179" t="s">
        <v>216</v>
      </c>
      <c r="E775" s="181">
        <v>0.5</v>
      </c>
    </row>
    <row r="776" spans="2:5" ht="12.75" x14ac:dyDescent="0.2">
      <c r="B776" s="179" t="s">
        <v>1035</v>
      </c>
      <c r="C776" s="180" t="s">
        <v>1024</v>
      </c>
      <c r="D776" s="179" t="s">
        <v>216</v>
      </c>
      <c r="E776" s="181">
        <v>0.5</v>
      </c>
    </row>
    <row r="777" spans="2:5" ht="12.75" x14ac:dyDescent="0.2">
      <c r="B777" s="179" t="s">
        <v>1036</v>
      </c>
      <c r="C777" s="180" t="s">
        <v>1024</v>
      </c>
      <c r="D777" s="179" t="s">
        <v>216</v>
      </c>
      <c r="E777" s="181">
        <v>0.5</v>
      </c>
    </row>
    <row r="778" spans="2:5" ht="12.75" x14ac:dyDescent="0.2">
      <c r="B778" s="179" t="s">
        <v>1037</v>
      </c>
      <c r="C778" s="180" t="s">
        <v>1024</v>
      </c>
      <c r="D778" s="179" t="s">
        <v>216</v>
      </c>
      <c r="E778" s="181">
        <v>0.5</v>
      </c>
    </row>
    <row r="779" spans="2:5" ht="12.75" x14ac:dyDescent="0.2">
      <c r="B779" s="179" t="s">
        <v>1038</v>
      </c>
      <c r="C779" s="180" t="s">
        <v>1024</v>
      </c>
      <c r="D779" s="179" t="s">
        <v>216</v>
      </c>
      <c r="E779" s="181">
        <v>0.5</v>
      </c>
    </row>
    <row r="780" spans="2:5" ht="12.75" x14ac:dyDescent="0.2">
      <c r="B780" s="179" t="s">
        <v>1039</v>
      </c>
      <c r="C780" s="180" t="s">
        <v>1024</v>
      </c>
      <c r="D780" s="179" t="s">
        <v>216</v>
      </c>
      <c r="E780" s="181">
        <v>0.5</v>
      </c>
    </row>
    <row r="781" spans="2:5" ht="12.75" x14ac:dyDescent="0.2">
      <c r="B781" s="179" t="s">
        <v>1040</v>
      </c>
      <c r="C781" s="180" t="s">
        <v>1024</v>
      </c>
      <c r="D781" s="179" t="s">
        <v>216</v>
      </c>
      <c r="E781" s="181">
        <v>0.5</v>
      </c>
    </row>
    <row r="782" spans="2:5" ht="12.75" x14ac:dyDescent="0.2">
      <c r="B782" s="179" t="s">
        <v>1041</v>
      </c>
      <c r="C782" s="180" t="s">
        <v>1042</v>
      </c>
      <c r="D782" s="179" t="s">
        <v>214</v>
      </c>
      <c r="E782" s="181">
        <v>0.1</v>
      </c>
    </row>
    <row r="783" spans="2:5" ht="12.75" x14ac:dyDescent="0.2">
      <c r="B783" s="179" t="s">
        <v>1043</v>
      </c>
      <c r="C783" s="180" t="s">
        <v>1042</v>
      </c>
      <c r="D783" s="179" t="s">
        <v>216</v>
      </c>
      <c r="E783" s="181">
        <v>0.1</v>
      </c>
    </row>
    <row r="784" spans="2:5" ht="12.75" x14ac:dyDescent="0.2">
      <c r="B784" s="179" t="s">
        <v>1044</v>
      </c>
      <c r="C784" s="180" t="s">
        <v>1042</v>
      </c>
      <c r="D784" s="179" t="s">
        <v>216</v>
      </c>
      <c r="E784" s="181">
        <v>0.1</v>
      </c>
    </row>
    <row r="785" spans="2:5" ht="12.75" x14ac:dyDescent="0.2">
      <c r="B785" s="179" t="s">
        <v>1045</v>
      </c>
      <c r="C785" s="180" t="s">
        <v>1046</v>
      </c>
      <c r="D785" s="179" t="s">
        <v>214</v>
      </c>
      <c r="E785" s="181">
        <v>0.1</v>
      </c>
    </row>
    <row r="786" spans="2:5" ht="12.75" x14ac:dyDescent="0.2">
      <c r="B786" s="179" t="s">
        <v>1047</v>
      </c>
      <c r="C786" s="180" t="s">
        <v>1048</v>
      </c>
      <c r="D786" s="179" t="s">
        <v>214</v>
      </c>
      <c r="E786" s="181">
        <v>0.5</v>
      </c>
    </row>
    <row r="787" spans="2:5" ht="12.75" x14ac:dyDescent="0.2">
      <c r="B787" s="179" t="s">
        <v>1049</v>
      </c>
      <c r="C787" s="180" t="s">
        <v>1048</v>
      </c>
      <c r="D787" s="179" t="s">
        <v>214</v>
      </c>
      <c r="E787" s="181">
        <v>0.5</v>
      </c>
    </row>
    <row r="788" spans="2:5" ht="12.75" x14ac:dyDescent="0.2">
      <c r="B788" s="179" t="s">
        <v>1050</v>
      </c>
      <c r="C788" s="180" t="s">
        <v>1051</v>
      </c>
      <c r="D788" s="179" t="s">
        <v>214</v>
      </c>
      <c r="E788" s="181">
        <v>1</v>
      </c>
    </row>
    <row r="789" spans="2:5" ht="12.75" x14ac:dyDescent="0.2">
      <c r="B789" s="179" t="s">
        <v>1052</v>
      </c>
      <c r="C789" s="180" t="s">
        <v>1051</v>
      </c>
      <c r="D789" s="179" t="s">
        <v>214</v>
      </c>
      <c r="E789" s="181">
        <v>1</v>
      </c>
    </row>
    <row r="790" spans="2:5" ht="12.75" x14ac:dyDescent="0.2">
      <c r="B790" s="179" t="s">
        <v>1053</v>
      </c>
      <c r="C790" s="180" t="s">
        <v>1051</v>
      </c>
      <c r="D790" s="179" t="s">
        <v>214</v>
      </c>
      <c r="E790" s="181">
        <v>1</v>
      </c>
    </row>
    <row r="791" spans="2:5" ht="12.75" x14ac:dyDescent="0.2">
      <c r="B791" s="179" t="s">
        <v>1054</v>
      </c>
      <c r="C791" s="180" t="s">
        <v>1051</v>
      </c>
      <c r="D791" s="179" t="s">
        <v>214</v>
      </c>
      <c r="E791" s="181">
        <v>1</v>
      </c>
    </row>
    <row r="792" spans="2:5" ht="12.75" x14ac:dyDescent="0.2">
      <c r="B792" s="179" t="s">
        <v>1055</v>
      </c>
      <c r="C792" s="180" t="s">
        <v>1051</v>
      </c>
      <c r="D792" s="179" t="s">
        <v>214</v>
      </c>
      <c r="E792" s="181">
        <v>1</v>
      </c>
    </row>
    <row r="793" spans="2:5" ht="12.75" x14ac:dyDescent="0.2">
      <c r="B793" s="179" t="s">
        <v>1056</v>
      </c>
      <c r="C793" s="180" t="s">
        <v>1051</v>
      </c>
      <c r="D793" s="179" t="s">
        <v>214</v>
      </c>
      <c r="E793" s="181">
        <v>1</v>
      </c>
    </row>
    <row r="794" spans="2:5" ht="12.75" x14ac:dyDescent="0.2">
      <c r="B794" s="179" t="s">
        <v>1057</v>
      </c>
      <c r="C794" s="180" t="s">
        <v>1051</v>
      </c>
      <c r="D794" s="179" t="s">
        <v>214</v>
      </c>
      <c r="E794" s="181">
        <v>1</v>
      </c>
    </row>
    <row r="795" spans="2:5" ht="12.75" x14ac:dyDescent="0.2">
      <c r="B795" s="179" t="s">
        <v>1058</v>
      </c>
      <c r="C795" s="180" t="s">
        <v>1051</v>
      </c>
      <c r="D795" s="179" t="s">
        <v>214</v>
      </c>
      <c r="E795" s="181">
        <v>1</v>
      </c>
    </row>
    <row r="796" spans="2:5" ht="12.75" x14ac:dyDescent="0.2">
      <c r="B796" s="179" t="s">
        <v>1059</v>
      </c>
      <c r="C796" s="180" t="s">
        <v>1051</v>
      </c>
      <c r="D796" s="179" t="s">
        <v>214</v>
      </c>
      <c r="E796" s="181">
        <v>1</v>
      </c>
    </row>
    <row r="797" spans="2:5" ht="12.75" x14ac:dyDescent="0.2">
      <c r="B797" s="179" t="s">
        <v>1060</v>
      </c>
      <c r="C797" s="180" t="s">
        <v>1051</v>
      </c>
      <c r="D797" s="179" t="s">
        <v>214</v>
      </c>
      <c r="E797" s="181">
        <v>1</v>
      </c>
    </row>
    <row r="798" spans="2:5" ht="12.75" x14ac:dyDescent="0.2">
      <c r="B798" s="179" t="s">
        <v>1061</v>
      </c>
      <c r="C798" s="180" t="s">
        <v>1051</v>
      </c>
      <c r="D798" s="179" t="s">
        <v>214</v>
      </c>
      <c r="E798" s="181">
        <v>1</v>
      </c>
    </row>
    <row r="799" spans="2:5" ht="12.75" x14ac:dyDescent="0.2">
      <c r="B799" s="179" t="s">
        <v>1062</v>
      </c>
      <c r="C799" s="180" t="s">
        <v>1051</v>
      </c>
      <c r="D799" s="179" t="s">
        <v>214</v>
      </c>
      <c r="E799" s="181">
        <v>1</v>
      </c>
    </row>
    <row r="800" spans="2:5" ht="12.75" x14ac:dyDescent="0.2">
      <c r="B800" s="179" t="s">
        <v>1063</v>
      </c>
      <c r="C800" s="180" t="s">
        <v>1051</v>
      </c>
      <c r="D800" s="179" t="s">
        <v>214</v>
      </c>
      <c r="E800" s="181">
        <v>1</v>
      </c>
    </row>
    <row r="801" spans="2:5" ht="12.75" x14ac:dyDescent="0.2">
      <c r="B801" s="179" t="s">
        <v>1064</v>
      </c>
      <c r="C801" s="180" t="s">
        <v>1051</v>
      </c>
      <c r="D801" s="179" t="s">
        <v>214</v>
      </c>
      <c r="E801" s="181">
        <v>1</v>
      </c>
    </row>
    <row r="802" spans="2:5" ht="12.75" x14ac:dyDescent="0.2">
      <c r="B802" s="179" t="s">
        <v>1065</v>
      </c>
      <c r="C802" s="180" t="s">
        <v>1051</v>
      </c>
      <c r="D802" s="179" t="s">
        <v>214</v>
      </c>
      <c r="E802" s="181">
        <v>1</v>
      </c>
    </row>
    <row r="803" spans="2:5" ht="12.75" x14ac:dyDescent="0.2">
      <c r="B803" s="179" t="s">
        <v>1066</v>
      </c>
      <c r="C803" s="180" t="s">
        <v>1051</v>
      </c>
      <c r="D803" s="179" t="s">
        <v>214</v>
      </c>
      <c r="E803" s="181">
        <v>1</v>
      </c>
    </row>
    <row r="804" spans="2:5" ht="12.75" x14ac:dyDescent="0.2">
      <c r="B804" s="179" t="s">
        <v>1067</v>
      </c>
      <c r="C804" s="180" t="s">
        <v>1051</v>
      </c>
      <c r="D804" s="179" t="s">
        <v>214</v>
      </c>
      <c r="E804" s="181">
        <v>1</v>
      </c>
    </row>
    <row r="805" spans="2:5" ht="12.75" x14ac:dyDescent="0.2">
      <c r="B805" s="179" t="s">
        <v>1068</v>
      </c>
      <c r="C805" s="180" t="s">
        <v>1051</v>
      </c>
      <c r="D805" s="179" t="s">
        <v>214</v>
      </c>
      <c r="E805" s="181">
        <v>1</v>
      </c>
    </row>
    <row r="806" spans="2:5" ht="12.75" x14ac:dyDescent="0.2">
      <c r="B806" s="179" t="s">
        <v>1069</v>
      </c>
      <c r="C806" s="180" t="s">
        <v>1051</v>
      </c>
      <c r="D806" s="179" t="s">
        <v>214</v>
      </c>
      <c r="E806" s="181">
        <v>1</v>
      </c>
    </row>
    <row r="807" spans="2:5" ht="12.75" x14ac:dyDescent="0.2">
      <c r="B807" s="179" t="s">
        <v>1070</v>
      </c>
      <c r="C807" s="180" t="s">
        <v>1051</v>
      </c>
      <c r="D807" s="179" t="s">
        <v>214</v>
      </c>
      <c r="E807" s="181">
        <v>1</v>
      </c>
    </row>
    <row r="808" spans="2:5" ht="12.75" x14ac:dyDescent="0.2">
      <c r="B808" s="179" t="s">
        <v>1071</v>
      </c>
      <c r="C808" s="180" t="s">
        <v>1051</v>
      </c>
      <c r="D808" s="179" t="s">
        <v>214</v>
      </c>
      <c r="E808" s="181">
        <v>1</v>
      </c>
    </row>
    <row r="809" spans="2:5" ht="12.75" x14ac:dyDescent="0.2">
      <c r="B809" s="179" t="s">
        <v>1072</v>
      </c>
      <c r="C809" s="180" t="s">
        <v>1051</v>
      </c>
      <c r="D809" s="179" t="s">
        <v>214</v>
      </c>
      <c r="E809" s="181">
        <v>1</v>
      </c>
    </row>
    <row r="810" spans="2:5" ht="12.75" x14ac:dyDescent="0.2">
      <c r="B810" s="179" t="s">
        <v>1073</v>
      </c>
      <c r="C810" s="180" t="s">
        <v>1051</v>
      </c>
      <c r="D810" s="179" t="s">
        <v>214</v>
      </c>
      <c r="E810" s="181">
        <v>1</v>
      </c>
    </row>
    <row r="811" spans="2:5" ht="12.75" x14ac:dyDescent="0.2">
      <c r="B811" s="179" t="s">
        <v>1074</v>
      </c>
      <c r="C811" s="180" t="s">
        <v>1051</v>
      </c>
      <c r="D811" s="179" t="s">
        <v>214</v>
      </c>
      <c r="E811" s="181">
        <v>1</v>
      </c>
    </row>
    <row r="812" spans="2:5" ht="12.75" x14ac:dyDescent="0.2">
      <c r="B812" s="179" t="s">
        <v>1075</v>
      </c>
      <c r="C812" s="180" t="s">
        <v>1051</v>
      </c>
      <c r="D812" s="179" t="s">
        <v>214</v>
      </c>
      <c r="E812" s="181">
        <v>1</v>
      </c>
    </row>
    <row r="813" spans="2:5" ht="12.75" x14ac:dyDescent="0.2">
      <c r="B813" s="179" t="s">
        <v>1076</v>
      </c>
      <c r="C813" s="180" t="s">
        <v>1051</v>
      </c>
      <c r="D813" s="179" t="s">
        <v>214</v>
      </c>
      <c r="E813" s="181">
        <v>1</v>
      </c>
    </row>
    <row r="814" spans="2:5" ht="12.75" x14ac:dyDescent="0.2">
      <c r="B814" s="179" t="s">
        <v>1077</v>
      </c>
      <c r="C814" s="180" t="s">
        <v>1051</v>
      </c>
      <c r="D814" s="179" t="s">
        <v>214</v>
      </c>
      <c r="E814" s="181">
        <v>1</v>
      </c>
    </row>
    <row r="815" spans="2:5" ht="12.75" x14ac:dyDescent="0.2">
      <c r="B815" s="179" t="s">
        <v>1078</v>
      </c>
      <c r="C815" s="180" t="s">
        <v>1051</v>
      </c>
      <c r="D815" s="179" t="s">
        <v>214</v>
      </c>
      <c r="E815" s="181">
        <v>1</v>
      </c>
    </row>
    <row r="816" spans="2:5" ht="12.75" x14ac:dyDescent="0.2">
      <c r="B816" s="179" t="s">
        <v>1079</v>
      </c>
      <c r="C816" s="180" t="s">
        <v>1051</v>
      </c>
      <c r="D816" s="179" t="s">
        <v>214</v>
      </c>
      <c r="E816" s="181">
        <v>1</v>
      </c>
    </row>
    <row r="817" spans="2:5" ht="12.75" x14ac:dyDescent="0.2">
      <c r="B817" s="179" t="s">
        <v>1080</v>
      </c>
      <c r="C817" s="180" t="s">
        <v>1051</v>
      </c>
      <c r="D817" s="179" t="s">
        <v>214</v>
      </c>
      <c r="E817" s="181">
        <v>1</v>
      </c>
    </row>
    <row r="818" spans="2:5" ht="12.75" x14ac:dyDescent="0.2">
      <c r="B818" s="179" t="s">
        <v>1081</v>
      </c>
      <c r="C818" s="180" t="s">
        <v>1051</v>
      </c>
      <c r="D818" s="179" t="s">
        <v>214</v>
      </c>
      <c r="E818" s="181">
        <v>1</v>
      </c>
    </row>
    <row r="819" spans="2:5" ht="12.75" x14ac:dyDescent="0.2">
      <c r="B819" s="179" t="s">
        <v>1082</v>
      </c>
      <c r="C819" s="180" t="s">
        <v>1051</v>
      </c>
      <c r="D819" s="179" t="s">
        <v>214</v>
      </c>
      <c r="E819" s="181">
        <v>1</v>
      </c>
    </row>
    <row r="820" spans="2:5" ht="12.75" x14ac:dyDescent="0.2">
      <c r="B820" s="179" t="s">
        <v>1083</v>
      </c>
      <c r="C820" s="180" t="s">
        <v>1051</v>
      </c>
      <c r="D820" s="179" t="s">
        <v>214</v>
      </c>
      <c r="E820" s="181">
        <v>1</v>
      </c>
    </row>
    <row r="821" spans="2:5" ht="12.75" x14ac:dyDescent="0.2">
      <c r="B821" s="179" t="s">
        <v>1084</v>
      </c>
      <c r="C821" s="180" t="s">
        <v>1051</v>
      </c>
      <c r="D821" s="179" t="s">
        <v>214</v>
      </c>
      <c r="E821" s="181">
        <v>1</v>
      </c>
    </row>
    <row r="822" spans="2:5" ht="12.75" x14ac:dyDescent="0.2">
      <c r="B822" s="179" t="s">
        <v>1085</v>
      </c>
      <c r="C822" s="180" t="s">
        <v>1051</v>
      </c>
      <c r="D822" s="179" t="s">
        <v>214</v>
      </c>
      <c r="E822" s="181">
        <v>1</v>
      </c>
    </row>
    <row r="823" spans="2:5" ht="12.75" x14ac:dyDescent="0.2">
      <c r="B823" s="179" t="s">
        <v>1086</v>
      </c>
      <c r="C823" s="180" t="s">
        <v>1051</v>
      </c>
      <c r="D823" s="179" t="s">
        <v>214</v>
      </c>
      <c r="E823" s="181">
        <v>1</v>
      </c>
    </row>
    <row r="824" spans="2:5" ht="12.75" x14ac:dyDescent="0.2">
      <c r="B824" s="179" t="s">
        <v>1087</v>
      </c>
      <c r="C824" s="180" t="s">
        <v>1051</v>
      </c>
      <c r="D824" s="179" t="s">
        <v>214</v>
      </c>
      <c r="E824" s="181">
        <v>1</v>
      </c>
    </row>
    <row r="825" spans="2:5" ht="12.75" x14ac:dyDescent="0.2">
      <c r="B825" s="179" t="s">
        <v>1088</v>
      </c>
      <c r="C825" s="180" t="s">
        <v>1051</v>
      </c>
      <c r="D825" s="179" t="s">
        <v>214</v>
      </c>
      <c r="E825" s="181">
        <v>1</v>
      </c>
    </row>
    <row r="826" spans="2:5" ht="12.75" x14ac:dyDescent="0.2">
      <c r="B826" s="179" t="s">
        <v>1089</v>
      </c>
      <c r="C826" s="180" t="s">
        <v>1051</v>
      </c>
      <c r="D826" s="179" t="s">
        <v>214</v>
      </c>
      <c r="E826" s="181">
        <v>1</v>
      </c>
    </row>
    <row r="827" spans="2:5" ht="12.75" x14ac:dyDescent="0.2">
      <c r="B827" s="179" t="s">
        <v>1090</v>
      </c>
      <c r="C827" s="180" t="s">
        <v>1051</v>
      </c>
      <c r="D827" s="179" t="s">
        <v>214</v>
      </c>
      <c r="E827" s="181">
        <v>1</v>
      </c>
    </row>
    <row r="828" spans="2:5" ht="12.75" x14ac:dyDescent="0.2">
      <c r="B828" s="179" t="s">
        <v>1091</v>
      </c>
      <c r="C828" s="180" t="s">
        <v>1051</v>
      </c>
      <c r="D828" s="179" t="s">
        <v>214</v>
      </c>
      <c r="E828" s="181">
        <v>1</v>
      </c>
    </row>
    <row r="829" spans="2:5" ht="12.75" x14ac:dyDescent="0.2">
      <c r="B829" s="179" t="s">
        <v>1092</v>
      </c>
      <c r="C829" s="180" t="s">
        <v>1051</v>
      </c>
      <c r="D829" s="179" t="s">
        <v>214</v>
      </c>
      <c r="E829" s="181">
        <v>1</v>
      </c>
    </row>
    <row r="830" spans="2:5" ht="12.75" x14ac:dyDescent="0.2">
      <c r="B830" s="179" t="s">
        <v>1093</v>
      </c>
      <c r="C830" s="180" t="s">
        <v>1051</v>
      </c>
      <c r="D830" s="179" t="s">
        <v>214</v>
      </c>
      <c r="E830" s="181">
        <v>1</v>
      </c>
    </row>
    <row r="831" spans="2:5" ht="12.75" x14ac:dyDescent="0.2">
      <c r="B831" s="179" t="s">
        <v>1094</v>
      </c>
      <c r="C831" s="180" t="s">
        <v>1051</v>
      </c>
      <c r="D831" s="179" t="s">
        <v>214</v>
      </c>
      <c r="E831" s="181">
        <v>1</v>
      </c>
    </row>
    <row r="832" spans="2:5" ht="12.75" x14ac:dyDescent="0.2">
      <c r="B832" s="179" t="s">
        <v>1095</v>
      </c>
      <c r="C832" s="180" t="s">
        <v>1051</v>
      </c>
      <c r="D832" s="179" t="s">
        <v>214</v>
      </c>
      <c r="E832" s="181">
        <v>1</v>
      </c>
    </row>
    <row r="833" spans="2:5" ht="12.75" x14ac:dyDescent="0.2">
      <c r="B833" s="179" t="s">
        <v>1096</v>
      </c>
      <c r="C833" s="180" t="s">
        <v>1051</v>
      </c>
      <c r="D833" s="179" t="s">
        <v>214</v>
      </c>
      <c r="E833" s="181">
        <v>1</v>
      </c>
    </row>
    <row r="834" spans="2:5" ht="12.75" x14ac:dyDescent="0.2">
      <c r="B834" s="179" t="s">
        <v>1097</v>
      </c>
      <c r="C834" s="180" t="s">
        <v>1051</v>
      </c>
      <c r="D834" s="179" t="s">
        <v>214</v>
      </c>
      <c r="E834" s="181">
        <v>1</v>
      </c>
    </row>
    <row r="835" spans="2:5" ht="12.75" x14ac:dyDescent="0.2">
      <c r="B835" s="179" t="s">
        <v>1098</v>
      </c>
      <c r="C835" s="180" t="s">
        <v>1051</v>
      </c>
      <c r="D835" s="179" t="s">
        <v>214</v>
      </c>
      <c r="E835" s="181">
        <v>1</v>
      </c>
    </row>
    <row r="836" spans="2:5" ht="12.75" x14ac:dyDescent="0.2">
      <c r="B836" s="179" t="s">
        <v>1099</v>
      </c>
      <c r="C836" s="180" t="s">
        <v>1051</v>
      </c>
      <c r="D836" s="179" t="s">
        <v>214</v>
      </c>
      <c r="E836" s="181">
        <v>1</v>
      </c>
    </row>
    <row r="837" spans="2:5" ht="12.75" x14ac:dyDescent="0.2">
      <c r="B837" s="179" t="s">
        <v>1100</v>
      </c>
      <c r="C837" s="180" t="s">
        <v>1051</v>
      </c>
      <c r="D837" s="179" t="s">
        <v>214</v>
      </c>
      <c r="E837" s="181">
        <v>1</v>
      </c>
    </row>
    <row r="838" spans="2:5" ht="12.75" x14ac:dyDescent="0.2">
      <c r="B838" s="179" t="s">
        <v>1101</v>
      </c>
      <c r="C838" s="180" t="s">
        <v>1051</v>
      </c>
      <c r="D838" s="179" t="s">
        <v>214</v>
      </c>
      <c r="E838" s="181">
        <v>1</v>
      </c>
    </row>
    <row r="839" spans="2:5" ht="12.75" x14ac:dyDescent="0.2">
      <c r="B839" s="179" t="s">
        <v>1102</v>
      </c>
      <c r="C839" s="180" t="s">
        <v>1051</v>
      </c>
      <c r="D839" s="179" t="s">
        <v>214</v>
      </c>
      <c r="E839" s="181">
        <v>1</v>
      </c>
    </row>
    <row r="840" spans="2:5" ht="12.75" x14ac:dyDescent="0.2">
      <c r="B840" s="179" t="s">
        <v>1103</v>
      </c>
      <c r="C840" s="180" t="s">
        <v>1051</v>
      </c>
      <c r="D840" s="179" t="s">
        <v>214</v>
      </c>
      <c r="E840" s="181">
        <v>1</v>
      </c>
    </row>
    <row r="841" spans="2:5" ht="12.75" x14ac:dyDescent="0.2">
      <c r="B841" s="179" t="s">
        <v>1104</v>
      </c>
      <c r="C841" s="180" t="s">
        <v>1051</v>
      </c>
      <c r="D841" s="179" t="s">
        <v>214</v>
      </c>
      <c r="E841" s="181">
        <v>1</v>
      </c>
    </row>
    <row r="842" spans="2:5" ht="12.75" x14ac:dyDescent="0.2">
      <c r="B842" s="179" t="s">
        <v>1105</v>
      </c>
      <c r="C842" s="180" t="s">
        <v>1051</v>
      </c>
      <c r="D842" s="179" t="s">
        <v>214</v>
      </c>
      <c r="E842" s="181">
        <v>1</v>
      </c>
    </row>
    <row r="843" spans="2:5" ht="12.75" x14ac:dyDescent="0.2">
      <c r="B843" s="179" t="s">
        <v>1106</v>
      </c>
      <c r="C843" s="180" t="s">
        <v>1051</v>
      </c>
      <c r="D843" s="179" t="s">
        <v>214</v>
      </c>
      <c r="E843" s="181">
        <v>1</v>
      </c>
    </row>
    <row r="844" spans="2:5" ht="12.75" x14ac:dyDescent="0.2">
      <c r="B844" s="179" t="s">
        <v>1107</v>
      </c>
      <c r="C844" s="180" t="s">
        <v>1051</v>
      </c>
      <c r="D844" s="179" t="s">
        <v>214</v>
      </c>
      <c r="E844" s="181">
        <v>1</v>
      </c>
    </row>
    <row r="845" spans="2:5" ht="12.75" x14ac:dyDescent="0.2">
      <c r="B845" s="179" t="s">
        <v>1108</v>
      </c>
      <c r="C845" s="180" t="s">
        <v>1051</v>
      </c>
      <c r="D845" s="179" t="s">
        <v>214</v>
      </c>
      <c r="E845" s="181">
        <v>1</v>
      </c>
    </row>
    <row r="846" spans="2:5" ht="12.75" x14ac:dyDescent="0.2">
      <c r="B846" s="179" t="s">
        <v>1109</v>
      </c>
      <c r="C846" s="180" t="s">
        <v>1051</v>
      </c>
      <c r="D846" s="179" t="s">
        <v>214</v>
      </c>
      <c r="E846" s="181">
        <v>1</v>
      </c>
    </row>
    <row r="847" spans="2:5" ht="12.75" x14ac:dyDescent="0.2">
      <c r="B847" s="179" t="s">
        <v>1110</v>
      </c>
      <c r="C847" s="180" t="s">
        <v>1051</v>
      </c>
      <c r="D847" s="179" t="s">
        <v>214</v>
      </c>
      <c r="E847" s="181">
        <v>1</v>
      </c>
    </row>
    <row r="848" spans="2:5" ht="12.75" x14ac:dyDescent="0.2">
      <c r="B848" s="179" t="s">
        <v>1111</v>
      </c>
      <c r="C848" s="180" t="s">
        <v>1051</v>
      </c>
      <c r="D848" s="179" t="s">
        <v>214</v>
      </c>
      <c r="E848" s="181">
        <v>1</v>
      </c>
    </row>
    <row r="849" spans="2:5" ht="12.75" x14ac:dyDescent="0.2">
      <c r="B849" s="179" t="s">
        <v>1112</v>
      </c>
      <c r="C849" s="180" t="s">
        <v>1051</v>
      </c>
      <c r="D849" s="179" t="s">
        <v>214</v>
      </c>
      <c r="E849" s="181">
        <v>1</v>
      </c>
    </row>
    <row r="850" spans="2:5" ht="12.75" x14ac:dyDescent="0.2">
      <c r="B850" s="179" t="s">
        <v>1113</v>
      </c>
      <c r="C850" s="180" t="s">
        <v>1051</v>
      </c>
      <c r="D850" s="179" t="s">
        <v>214</v>
      </c>
      <c r="E850" s="181">
        <v>1</v>
      </c>
    </row>
    <row r="851" spans="2:5" ht="12.75" x14ac:dyDescent="0.2">
      <c r="B851" s="179" t="s">
        <v>1114</v>
      </c>
      <c r="C851" s="180" t="s">
        <v>1051</v>
      </c>
      <c r="D851" s="179" t="s">
        <v>214</v>
      </c>
      <c r="E851" s="181">
        <v>1</v>
      </c>
    </row>
    <row r="852" spans="2:5" ht="12.75" x14ac:dyDescent="0.2">
      <c r="B852" s="179" t="s">
        <v>1115</v>
      </c>
      <c r="C852" s="180" t="s">
        <v>1051</v>
      </c>
      <c r="D852" s="179" t="s">
        <v>214</v>
      </c>
      <c r="E852" s="181">
        <v>1</v>
      </c>
    </row>
    <row r="853" spans="2:5" ht="12.75" x14ac:dyDescent="0.2">
      <c r="B853" s="179" t="s">
        <v>1116</v>
      </c>
      <c r="C853" s="180" t="s">
        <v>1051</v>
      </c>
      <c r="D853" s="179" t="s">
        <v>214</v>
      </c>
      <c r="E853" s="181">
        <v>1</v>
      </c>
    </row>
    <row r="854" spans="2:5" ht="12.75" x14ac:dyDescent="0.2">
      <c r="B854" s="179" t="s">
        <v>1117</v>
      </c>
      <c r="C854" s="180" t="s">
        <v>1051</v>
      </c>
      <c r="D854" s="179" t="s">
        <v>214</v>
      </c>
      <c r="E854" s="181">
        <v>1</v>
      </c>
    </row>
    <row r="855" spans="2:5" ht="12.75" x14ac:dyDescent="0.2">
      <c r="B855" s="179" t="s">
        <v>1118</v>
      </c>
      <c r="C855" s="180" t="s">
        <v>1051</v>
      </c>
      <c r="D855" s="179" t="s">
        <v>214</v>
      </c>
      <c r="E855" s="181">
        <v>1</v>
      </c>
    </row>
    <row r="856" spans="2:5" ht="12.75" x14ac:dyDescent="0.2">
      <c r="B856" s="179" t="s">
        <v>1119</v>
      </c>
      <c r="C856" s="180" t="s">
        <v>1051</v>
      </c>
      <c r="D856" s="179" t="s">
        <v>214</v>
      </c>
      <c r="E856" s="181">
        <v>1</v>
      </c>
    </row>
    <row r="857" spans="2:5" ht="12.75" x14ac:dyDescent="0.2">
      <c r="B857" s="179" t="s">
        <v>1120</v>
      </c>
      <c r="C857" s="180" t="s">
        <v>1051</v>
      </c>
      <c r="D857" s="179" t="s">
        <v>214</v>
      </c>
      <c r="E857" s="181">
        <v>1</v>
      </c>
    </row>
    <row r="858" spans="2:5" ht="12.75" x14ac:dyDescent="0.2">
      <c r="B858" s="179" t="s">
        <v>1121</v>
      </c>
      <c r="C858" s="180" t="s">
        <v>1051</v>
      </c>
      <c r="D858" s="179" t="s">
        <v>214</v>
      </c>
      <c r="E858" s="181">
        <v>1</v>
      </c>
    </row>
    <row r="859" spans="2:5" ht="12.75" x14ac:dyDescent="0.2">
      <c r="B859" s="179" t="s">
        <v>1122</v>
      </c>
      <c r="C859" s="180" t="s">
        <v>1051</v>
      </c>
      <c r="D859" s="179" t="s">
        <v>214</v>
      </c>
      <c r="E859" s="181">
        <v>1</v>
      </c>
    </row>
    <row r="860" spans="2:5" ht="12.75" x14ac:dyDescent="0.2">
      <c r="B860" s="179" t="s">
        <v>1123</v>
      </c>
      <c r="C860" s="180" t="s">
        <v>1051</v>
      </c>
      <c r="D860" s="179" t="s">
        <v>214</v>
      </c>
      <c r="E860" s="181">
        <v>1</v>
      </c>
    </row>
    <row r="861" spans="2:5" ht="12.75" x14ac:dyDescent="0.2">
      <c r="B861" s="179" t="s">
        <v>1124</v>
      </c>
      <c r="C861" s="180" t="s">
        <v>1051</v>
      </c>
      <c r="D861" s="179" t="s">
        <v>214</v>
      </c>
      <c r="E861" s="181">
        <v>1</v>
      </c>
    </row>
    <row r="862" spans="2:5" ht="12.75" x14ac:dyDescent="0.2">
      <c r="B862" s="179" t="s">
        <v>1125</v>
      </c>
      <c r="C862" s="180" t="s">
        <v>1051</v>
      </c>
      <c r="D862" s="179" t="s">
        <v>214</v>
      </c>
      <c r="E862" s="181">
        <v>1</v>
      </c>
    </row>
    <row r="863" spans="2:5" ht="12.75" x14ac:dyDescent="0.2">
      <c r="B863" s="179" t="s">
        <v>1126</v>
      </c>
      <c r="C863" s="180" t="s">
        <v>1051</v>
      </c>
      <c r="D863" s="179" t="s">
        <v>214</v>
      </c>
      <c r="E863" s="181">
        <v>1</v>
      </c>
    </row>
    <row r="864" spans="2:5" ht="12.75" x14ac:dyDescent="0.2">
      <c r="B864" s="179" t="s">
        <v>1127</v>
      </c>
      <c r="C864" s="180" t="s">
        <v>1051</v>
      </c>
      <c r="D864" s="179" t="s">
        <v>214</v>
      </c>
      <c r="E864" s="181">
        <v>1</v>
      </c>
    </row>
    <row r="865" spans="2:5" ht="12.75" x14ac:dyDescent="0.2">
      <c r="B865" s="179" t="s">
        <v>1128</v>
      </c>
      <c r="C865" s="180" t="s">
        <v>1051</v>
      </c>
      <c r="D865" s="179" t="s">
        <v>214</v>
      </c>
      <c r="E865" s="181">
        <v>1</v>
      </c>
    </row>
    <row r="866" spans="2:5" ht="12.75" x14ac:dyDescent="0.2">
      <c r="B866" s="179" t="s">
        <v>1129</v>
      </c>
      <c r="C866" s="180" t="s">
        <v>1051</v>
      </c>
      <c r="D866" s="179" t="s">
        <v>214</v>
      </c>
      <c r="E866" s="181">
        <v>1</v>
      </c>
    </row>
    <row r="867" spans="2:5" ht="12.75" x14ac:dyDescent="0.2">
      <c r="B867" s="179" t="s">
        <v>1130</v>
      </c>
      <c r="C867" s="180" t="s">
        <v>1051</v>
      </c>
      <c r="D867" s="179" t="s">
        <v>214</v>
      </c>
      <c r="E867" s="181">
        <v>1</v>
      </c>
    </row>
    <row r="868" spans="2:5" ht="12.75" x14ac:dyDescent="0.2">
      <c r="B868" s="179" t="s">
        <v>1131</v>
      </c>
      <c r="C868" s="180" t="s">
        <v>1051</v>
      </c>
      <c r="D868" s="179" t="s">
        <v>214</v>
      </c>
      <c r="E868" s="181">
        <v>1</v>
      </c>
    </row>
    <row r="869" spans="2:5" ht="12.75" x14ac:dyDescent="0.2">
      <c r="B869" s="179" t="s">
        <v>1132</v>
      </c>
      <c r="C869" s="180" t="s">
        <v>1051</v>
      </c>
      <c r="D869" s="179" t="s">
        <v>214</v>
      </c>
      <c r="E869" s="181">
        <v>1</v>
      </c>
    </row>
    <row r="870" spans="2:5" ht="12.75" x14ac:dyDescent="0.2">
      <c r="B870" s="179" t="s">
        <v>1133</v>
      </c>
      <c r="C870" s="180" t="s">
        <v>1051</v>
      </c>
      <c r="D870" s="179" t="s">
        <v>214</v>
      </c>
      <c r="E870" s="181">
        <v>1</v>
      </c>
    </row>
    <row r="871" spans="2:5" ht="12.75" x14ac:dyDescent="0.2">
      <c r="B871" s="179" t="s">
        <v>1134</v>
      </c>
      <c r="C871" s="180" t="s">
        <v>1051</v>
      </c>
      <c r="D871" s="179" t="s">
        <v>214</v>
      </c>
      <c r="E871" s="181">
        <v>1</v>
      </c>
    </row>
    <row r="872" spans="2:5" ht="12.75" x14ac:dyDescent="0.2">
      <c r="B872" s="179" t="s">
        <v>1135</v>
      </c>
      <c r="C872" s="180" t="s">
        <v>1136</v>
      </c>
      <c r="D872" s="179" t="s">
        <v>214</v>
      </c>
      <c r="E872" s="181">
        <v>0.5</v>
      </c>
    </row>
    <row r="873" spans="2:5" ht="12.75" x14ac:dyDescent="0.2">
      <c r="B873" s="179" t="s">
        <v>1137</v>
      </c>
      <c r="C873" s="180" t="s">
        <v>1138</v>
      </c>
      <c r="D873" s="179" t="s">
        <v>214</v>
      </c>
      <c r="E873" s="181">
        <v>0.1</v>
      </c>
    </row>
    <row r="874" spans="2:5" ht="12.75" x14ac:dyDescent="0.2">
      <c r="B874" s="179" t="s">
        <v>1139</v>
      </c>
      <c r="C874" s="180" t="s">
        <v>1138</v>
      </c>
      <c r="D874" s="179" t="s">
        <v>216</v>
      </c>
      <c r="E874" s="181">
        <v>0.5</v>
      </c>
    </row>
    <row r="875" spans="2:5" ht="12.75" x14ac:dyDescent="0.2">
      <c r="B875" s="179" t="s">
        <v>1140</v>
      </c>
      <c r="C875" s="180" t="s">
        <v>1138</v>
      </c>
      <c r="D875" s="179" t="s">
        <v>216</v>
      </c>
      <c r="E875" s="181">
        <v>0.5</v>
      </c>
    </row>
    <row r="876" spans="2:5" ht="12.75" x14ac:dyDescent="0.2">
      <c r="B876" s="179" t="s">
        <v>1141</v>
      </c>
      <c r="C876" s="180" t="s">
        <v>1138</v>
      </c>
      <c r="D876" s="179" t="s">
        <v>216</v>
      </c>
      <c r="E876" s="181">
        <v>0.5</v>
      </c>
    </row>
    <row r="877" spans="2:5" ht="12.75" x14ac:dyDescent="0.2">
      <c r="B877" s="179" t="s">
        <v>1142</v>
      </c>
      <c r="C877" s="180" t="s">
        <v>1138</v>
      </c>
      <c r="D877" s="179" t="s">
        <v>216</v>
      </c>
      <c r="E877" s="181">
        <v>0.5</v>
      </c>
    </row>
    <row r="878" spans="2:5" ht="12.75" x14ac:dyDescent="0.2">
      <c r="B878" s="179" t="s">
        <v>1143</v>
      </c>
      <c r="C878" s="180" t="s">
        <v>1138</v>
      </c>
      <c r="D878" s="179" t="s">
        <v>216</v>
      </c>
      <c r="E878" s="181">
        <v>0.5</v>
      </c>
    </row>
    <row r="879" spans="2:5" ht="12.75" x14ac:dyDescent="0.2">
      <c r="B879" s="179" t="s">
        <v>1144</v>
      </c>
      <c r="C879" s="180" t="s">
        <v>1138</v>
      </c>
      <c r="D879" s="179" t="s">
        <v>216</v>
      </c>
      <c r="E879" s="181">
        <v>0.5</v>
      </c>
    </row>
    <row r="880" spans="2:5" ht="12.75" x14ac:dyDescent="0.2">
      <c r="B880" s="179" t="s">
        <v>1145</v>
      </c>
      <c r="C880" s="180" t="s">
        <v>1138</v>
      </c>
      <c r="D880" s="179" t="s">
        <v>216</v>
      </c>
      <c r="E880" s="181">
        <v>0.5</v>
      </c>
    </row>
    <row r="881" spans="2:5" ht="12.75" x14ac:dyDescent="0.2">
      <c r="B881" s="179" t="s">
        <v>1146</v>
      </c>
      <c r="C881" s="180" t="s">
        <v>1138</v>
      </c>
      <c r="D881" s="179" t="s">
        <v>216</v>
      </c>
      <c r="E881" s="181">
        <v>0.5</v>
      </c>
    </row>
    <row r="882" spans="2:5" ht="12.75" x14ac:dyDescent="0.2">
      <c r="B882" s="179" t="s">
        <v>1147</v>
      </c>
      <c r="C882" s="180" t="s">
        <v>1138</v>
      </c>
      <c r="D882" s="179" t="s">
        <v>216</v>
      </c>
      <c r="E882" s="181">
        <v>0.5</v>
      </c>
    </row>
    <row r="883" spans="2:5" ht="12.75" x14ac:dyDescent="0.2">
      <c r="B883" s="179" t="s">
        <v>1148</v>
      </c>
      <c r="C883" s="180" t="s">
        <v>1138</v>
      </c>
      <c r="D883" s="179" t="s">
        <v>216</v>
      </c>
      <c r="E883" s="181">
        <v>0.5</v>
      </c>
    </row>
    <row r="884" spans="2:5" ht="12.75" x14ac:dyDescent="0.2">
      <c r="B884" s="179" t="s">
        <v>1149</v>
      </c>
      <c r="C884" s="180" t="s">
        <v>1138</v>
      </c>
      <c r="D884" s="179" t="s">
        <v>216</v>
      </c>
      <c r="E884" s="181">
        <v>0.5</v>
      </c>
    </row>
    <row r="885" spans="2:5" ht="12.75" x14ac:dyDescent="0.2">
      <c r="B885" s="179" t="s">
        <v>1150</v>
      </c>
      <c r="C885" s="180" t="s">
        <v>1138</v>
      </c>
      <c r="D885" s="179" t="s">
        <v>216</v>
      </c>
      <c r="E885" s="181">
        <v>0.5</v>
      </c>
    </row>
    <row r="886" spans="2:5" ht="12.75" x14ac:dyDescent="0.2">
      <c r="B886" s="179" t="s">
        <v>1151</v>
      </c>
      <c r="C886" s="180" t="s">
        <v>1138</v>
      </c>
      <c r="D886" s="179" t="s">
        <v>216</v>
      </c>
      <c r="E886" s="181">
        <v>0.5</v>
      </c>
    </row>
    <row r="887" spans="2:5" ht="12.75" x14ac:dyDescent="0.2">
      <c r="B887" s="179" t="s">
        <v>1152</v>
      </c>
      <c r="C887" s="180" t="s">
        <v>1138</v>
      </c>
      <c r="D887" s="179" t="s">
        <v>216</v>
      </c>
      <c r="E887" s="181">
        <v>0.5</v>
      </c>
    </row>
    <row r="888" spans="2:5" ht="12.75" x14ac:dyDescent="0.2">
      <c r="B888" s="179" t="s">
        <v>1153</v>
      </c>
      <c r="C888" s="180" t="s">
        <v>1138</v>
      </c>
      <c r="D888" s="179" t="s">
        <v>216</v>
      </c>
      <c r="E888" s="181">
        <v>0.5</v>
      </c>
    </row>
    <row r="889" spans="2:5" ht="12.75" x14ac:dyDescent="0.2">
      <c r="B889" s="179" t="s">
        <v>1154</v>
      </c>
      <c r="C889" s="180" t="s">
        <v>1138</v>
      </c>
      <c r="D889" s="179" t="s">
        <v>216</v>
      </c>
      <c r="E889" s="181">
        <v>0.5</v>
      </c>
    </row>
    <row r="890" spans="2:5" ht="12.75" x14ac:dyDescent="0.2">
      <c r="B890" s="179" t="s">
        <v>1155</v>
      </c>
      <c r="C890" s="180" t="s">
        <v>1156</v>
      </c>
      <c r="D890" s="179" t="s">
        <v>214</v>
      </c>
      <c r="E890" s="181">
        <v>0.5</v>
      </c>
    </row>
    <row r="891" spans="2:5" ht="12.75" x14ac:dyDescent="0.2">
      <c r="B891" s="179" t="s">
        <v>1157</v>
      </c>
      <c r="C891" s="180" t="s">
        <v>1156</v>
      </c>
      <c r="D891" s="179" t="s">
        <v>216</v>
      </c>
      <c r="E891" s="181">
        <v>0.5</v>
      </c>
    </row>
    <row r="892" spans="2:5" ht="12.75" x14ac:dyDescent="0.2">
      <c r="B892" s="179" t="s">
        <v>1158</v>
      </c>
      <c r="C892" s="180" t="s">
        <v>1156</v>
      </c>
      <c r="D892" s="179" t="s">
        <v>216</v>
      </c>
      <c r="E892" s="181">
        <v>0.5</v>
      </c>
    </row>
    <row r="893" spans="2:5" ht="12.75" x14ac:dyDescent="0.2">
      <c r="B893" s="179" t="s">
        <v>1159</v>
      </c>
      <c r="C893" s="180" t="s">
        <v>1156</v>
      </c>
      <c r="D893" s="179" t="s">
        <v>216</v>
      </c>
      <c r="E893" s="181">
        <v>0.5</v>
      </c>
    </row>
    <row r="894" spans="2:5" ht="12.75" x14ac:dyDescent="0.2">
      <c r="B894" s="179" t="s">
        <v>1160</v>
      </c>
      <c r="C894" s="180" t="s">
        <v>1156</v>
      </c>
      <c r="D894" s="179" t="s">
        <v>216</v>
      </c>
      <c r="E894" s="181">
        <v>0.5</v>
      </c>
    </row>
    <row r="895" spans="2:5" ht="12.75" x14ac:dyDescent="0.2">
      <c r="B895" s="179" t="s">
        <v>1161</v>
      </c>
      <c r="C895" s="180" t="s">
        <v>1156</v>
      </c>
      <c r="D895" s="179" t="s">
        <v>216</v>
      </c>
      <c r="E895" s="181">
        <v>0.5</v>
      </c>
    </row>
    <row r="896" spans="2:5" ht="12.75" x14ac:dyDescent="0.2">
      <c r="B896" s="179" t="s">
        <v>1162</v>
      </c>
      <c r="C896" s="180" t="s">
        <v>1156</v>
      </c>
      <c r="D896" s="179" t="s">
        <v>216</v>
      </c>
      <c r="E896" s="181">
        <v>0.5</v>
      </c>
    </row>
    <row r="897" spans="2:5" ht="12.75" x14ac:dyDescent="0.2">
      <c r="B897" s="179" t="s">
        <v>1163</v>
      </c>
      <c r="C897" s="180" t="s">
        <v>1156</v>
      </c>
      <c r="D897" s="179" t="s">
        <v>216</v>
      </c>
      <c r="E897" s="181">
        <v>0.5</v>
      </c>
    </row>
    <row r="898" spans="2:5" ht="12.75" x14ac:dyDescent="0.2">
      <c r="B898" s="179" t="s">
        <v>1164</v>
      </c>
      <c r="C898" s="180" t="s">
        <v>1156</v>
      </c>
      <c r="D898" s="179" t="s">
        <v>216</v>
      </c>
      <c r="E898" s="181">
        <v>0.5</v>
      </c>
    </row>
    <row r="899" spans="2:5" ht="12.75" x14ac:dyDescent="0.2">
      <c r="B899" s="179" t="s">
        <v>1165</v>
      </c>
      <c r="C899" s="180" t="s">
        <v>1156</v>
      </c>
      <c r="D899" s="179" t="s">
        <v>216</v>
      </c>
      <c r="E899" s="181">
        <v>0.5</v>
      </c>
    </row>
    <row r="900" spans="2:5" ht="12.75" x14ac:dyDescent="0.2">
      <c r="B900" s="179" t="s">
        <v>1166</v>
      </c>
      <c r="C900" s="180" t="s">
        <v>1156</v>
      </c>
      <c r="D900" s="179" t="s">
        <v>216</v>
      </c>
      <c r="E900" s="181">
        <v>0.5</v>
      </c>
    </row>
    <row r="901" spans="2:5" ht="12.75" x14ac:dyDescent="0.2">
      <c r="B901" s="179" t="s">
        <v>1167</v>
      </c>
      <c r="C901" s="180" t="s">
        <v>1156</v>
      </c>
      <c r="D901" s="179" t="s">
        <v>216</v>
      </c>
      <c r="E901" s="181">
        <v>0.5</v>
      </c>
    </row>
    <row r="902" spans="2:5" ht="12.75" x14ac:dyDescent="0.2">
      <c r="B902" s="179" t="s">
        <v>1168</v>
      </c>
      <c r="C902" s="180" t="s">
        <v>1156</v>
      </c>
      <c r="D902" s="179" t="s">
        <v>216</v>
      </c>
      <c r="E902" s="181">
        <v>0.5</v>
      </c>
    </row>
    <row r="903" spans="2:5" ht="12.75" x14ac:dyDescent="0.2">
      <c r="B903" s="179" t="s">
        <v>1169</v>
      </c>
      <c r="C903" s="180" t="s">
        <v>1156</v>
      </c>
      <c r="D903" s="179" t="s">
        <v>216</v>
      </c>
      <c r="E903" s="181">
        <v>0.5</v>
      </c>
    </row>
    <row r="904" spans="2:5" ht="12.75" x14ac:dyDescent="0.2">
      <c r="B904" s="179" t="s">
        <v>1170</v>
      </c>
      <c r="C904" s="180" t="s">
        <v>1156</v>
      </c>
      <c r="D904" s="179" t="s">
        <v>216</v>
      </c>
      <c r="E904" s="181">
        <v>0.5</v>
      </c>
    </row>
    <row r="905" spans="2:5" ht="12.75" x14ac:dyDescent="0.2">
      <c r="B905" s="179" t="s">
        <v>1171</v>
      </c>
      <c r="C905" s="180" t="s">
        <v>1156</v>
      </c>
      <c r="D905" s="179" t="s">
        <v>216</v>
      </c>
      <c r="E905" s="181">
        <v>0.5</v>
      </c>
    </row>
    <row r="906" spans="2:5" ht="12.75" x14ac:dyDescent="0.2">
      <c r="B906" s="179" t="s">
        <v>1172</v>
      </c>
      <c r="C906" s="180" t="s">
        <v>1156</v>
      </c>
      <c r="D906" s="179" t="s">
        <v>216</v>
      </c>
      <c r="E906" s="181">
        <v>0.5</v>
      </c>
    </row>
    <row r="907" spans="2:5" ht="12.75" x14ac:dyDescent="0.2">
      <c r="B907" s="179" t="s">
        <v>1173</v>
      </c>
      <c r="C907" s="180" t="s">
        <v>1174</v>
      </c>
      <c r="D907" s="179" t="s">
        <v>214</v>
      </c>
      <c r="E907" s="181">
        <v>0.1</v>
      </c>
    </row>
    <row r="908" spans="2:5" ht="12.75" x14ac:dyDescent="0.2">
      <c r="B908" s="179" t="s">
        <v>1175</v>
      </c>
      <c r="C908" s="180" t="s">
        <v>1174</v>
      </c>
      <c r="D908" s="179" t="s">
        <v>214</v>
      </c>
      <c r="E908" s="181">
        <v>0.1</v>
      </c>
    </row>
    <row r="909" spans="2:5" ht="12.75" x14ac:dyDescent="0.2">
      <c r="B909" s="179" t="s">
        <v>1176</v>
      </c>
      <c r="C909" s="180" t="s">
        <v>1174</v>
      </c>
      <c r="D909" s="179" t="s">
        <v>214</v>
      </c>
      <c r="E909" s="181">
        <v>0.1</v>
      </c>
    </row>
    <row r="910" spans="2:5" ht="12.75" x14ac:dyDescent="0.2">
      <c r="B910" s="179" t="s">
        <v>1177</v>
      </c>
      <c r="C910" s="180" t="s">
        <v>1174</v>
      </c>
      <c r="D910" s="179" t="s">
        <v>214</v>
      </c>
      <c r="E910" s="181">
        <v>0.1</v>
      </c>
    </row>
    <row r="911" spans="2:5" ht="12.75" x14ac:dyDescent="0.2">
      <c r="B911" s="179" t="s">
        <v>1178</v>
      </c>
      <c r="C911" s="180" t="s">
        <v>1174</v>
      </c>
      <c r="D911" s="179" t="s">
        <v>214</v>
      </c>
      <c r="E911" s="181">
        <v>0.1</v>
      </c>
    </row>
    <row r="912" spans="2:5" ht="12.75" x14ac:dyDescent="0.2">
      <c r="B912" s="179" t="s">
        <v>1179</v>
      </c>
      <c r="C912" s="180" t="s">
        <v>1174</v>
      </c>
      <c r="D912" s="179" t="s">
        <v>214</v>
      </c>
      <c r="E912" s="181">
        <v>0.1</v>
      </c>
    </row>
    <row r="913" spans="2:5" ht="12.75" x14ac:dyDescent="0.2">
      <c r="B913" s="179" t="s">
        <v>1180</v>
      </c>
      <c r="C913" s="180" t="s">
        <v>1174</v>
      </c>
      <c r="D913" s="179" t="s">
        <v>214</v>
      </c>
      <c r="E913" s="181">
        <v>0.1</v>
      </c>
    </row>
    <row r="914" spans="2:5" ht="12.75" x14ac:dyDescent="0.2">
      <c r="B914" s="179" t="s">
        <v>1181</v>
      </c>
      <c r="C914" s="180" t="s">
        <v>1174</v>
      </c>
      <c r="D914" s="179" t="s">
        <v>214</v>
      </c>
      <c r="E914" s="181">
        <v>0.1</v>
      </c>
    </row>
    <row r="915" spans="2:5" ht="12.75" x14ac:dyDescent="0.2">
      <c r="B915" s="179" t="s">
        <v>1182</v>
      </c>
      <c r="C915" s="180" t="s">
        <v>1174</v>
      </c>
      <c r="D915" s="179" t="s">
        <v>214</v>
      </c>
      <c r="E915" s="181">
        <v>0.1</v>
      </c>
    </row>
    <row r="916" spans="2:5" ht="12.75" x14ac:dyDescent="0.2">
      <c r="B916" s="179" t="s">
        <v>1183</v>
      </c>
      <c r="C916" s="180" t="s">
        <v>1174</v>
      </c>
      <c r="D916" s="179" t="s">
        <v>214</v>
      </c>
      <c r="E916" s="181">
        <v>0.1</v>
      </c>
    </row>
    <row r="917" spans="2:5" ht="12.75" x14ac:dyDescent="0.2">
      <c r="B917" s="179" t="s">
        <v>1184</v>
      </c>
      <c r="C917" s="180" t="s">
        <v>1185</v>
      </c>
      <c r="D917" s="179" t="s">
        <v>214</v>
      </c>
      <c r="E917" s="181">
        <v>0.1</v>
      </c>
    </row>
    <row r="918" spans="2:5" ht="12.75" x14ac:dyDescent="0.2">
      <c r="B918" s="179" t="s">
        <v>1186</v>
      </c>
      <c r="C918" s="180" t="s">
        <v>1185</v>
      </c>
      <c r="D918" s="179" t="s">
        <v>216</v>
      </c>
      <c r="E918" s="181">
        <v>0.5</v>
      </c>
    </row>
    <row r="919" spans="2:5" ht="12.75" x14ac:dyDescent="0.2">
      <c r="B919" s="179" t="s">
        <v>1187</v>
      </c>
      <c r="C919" s="180" t="s">
        <v>1188</v>
      </c>
      <c r="D919" s="179" t="s">
        <v>214</v>
      </c>
      <c r="E919" s="181">
        <v>0.1</v>
      </c>
    </row>
    <row r="920" spans="2:5" ht="12.75" x14ac:dyDescent="0.2">
      <c r="B920" s="179" t="s">
        <v>1189</v>
      </c>
      <c r="C920" s="180" t="s">
        <v>1188</v>
      </c>
      <c r="D920" s="179" t="s">
        <v>214</v>
      </c>
      <c r="E920" s="181">
        <v>0.1</v>
      </c>
    </row>
    <row r="921" spans="2:5" ht="12.75" x14ac:dyDescent="0.2">
      <c r="B921" s="179" t="s">
        <v>1190</v>
      </c>
      <c r="C921" s="180" t="s">
        <v>1188</v>
      </c>
      <c r="D921" s="179" t="s">
        <v>214</v>
      </c>
      <c r="E921" s="181">
        <v>0.1</v>
      </c>
    </row>
    <row r="922" spans="2:5" ht="12.75" x14ac:dyDescent="0.2">
      <c r="B922" s="179" t="s">
        <v>1191</v>
      </c>
      <c r="C922" s="180" t="s">
        <v>1188</v>
      </c>
      <c r="D922" s="179" t="s">
        <v>214</v>
      </c>
      <c r="E922" s="181">
        <v>0.1</v>
      </c>
    </row>
    <row r="923" spans="2:5" ht="12.75" x14ac:dyDescent="0.2">
      <c r="B923" s="179" t="s">
        <v>1192</v>
      </c>
      <c r="C923" s="180" t="s">
        <v>1188</v>
      </c>
      <c r="D923" s="179" t="s">
        <v>214</v>
      </c>
      <c r="E923" s="181">
        <v>0.1</v>
      </c>
    </row>
    <row r="924" spans="2:5" ht="12.75" x14ac:dyDescent="0.2">
      <c r="B924" s="179" t="s">
        <v>1193</v>
      </c>
      <c r="C924" s="180" t="s">
        <v>1188</v>
      </c>
      <c r="D924" s="179" t="s">
        <v>214</v>
      </c>
      <c r="E924" s="181">
        <v>0.1</v>
      </c>
    </row>
    <row r="925" spans="2:5" ht="12.75" x14ac:dyDescent="0.2">
      <c r="B925" s="179" t="s">
        <v>1194</v>
      </c>
      <c r="C925" s="180" t="s">
        <v>1188</v>
      </c>
      <c r="D925" s="179" t="s">
        <v>214</v>
      </c>
      <c r="E925" s="181">
        <v>0.1</v>
      </c>
    </row>
    <row r="926" spans="2:5" ht="12.75" x14ac:dyDescent="0.2">
      <c r="B926" s="179" t="s">
        <v>1195</v>
      </c>
      <c r="C926" s="180" t="s">
        <v>1188</v>
      </c>
      <c r="D926" s="179" t="s">
        <v>214</v>
      </c>
      <c r="E926" s="181">
        <v>0.1</v>
      </c>
    </row>
    <row r="927" spans="2:5" ht="12.75" x14ac:dyDescent="0.2">
      <c r="B927" s="179" t="s">
        <v>1196</v>
      </c>
      <c r="C927" s="180" t="s">
        <v>1188</v>
      </c>
      <c r="D927" s="179" t="s">
        <v>214</v>
      </c>
      <c r="E927" s="181">
        <v>0.1</v>
      </c>
    </row>
    <row r="928" spans="2:5" ht="12.75" x14ac:dyDescent="0.2">
      <c r="B928" s="179" t="s">
        <v>1197</v>
      </c>
      <c r="C928" s="180" t="s">
        <v>1188</v>
      </c>
      <c r="D928" s="179" t="s">
        <v>214</v>
      </c>
      <c r="E928" s="181">
        <v>0.1</v>
      </c>
    </row>
    <row r="929" spans="2:5" ht="12.75" x14ac:dyDescent="0.2">
      <c r="B929" s="179" t="s">
        <v>1198</v>
      </c>
      <c r="C929" s="180" t="s">
        <v>1188</v>
      </c>
      <c r="D929" s="179" t="s">
        <v>214</v>
      </c>
      <c r="E929" s="181">
        <v>0.1</v>
      </c>
    </row>
    <row r="930" spans="2:5" ht="12.75" x14ac:dyDescent="0.2">
      <c r="B930" s="179" t="s">
        <v>1199</v>
      </c>
      <c r="C930" s="180" t="s">
        <v>1188</v>
      </c>
      <c r="D930" s="179" t="s">
        <v>214</v>
      </c>
      <c r="E930" s="181">
        <v>0.1</v>
      </c>
    </row>
    <row r="931" spans="2:5" ht="12.75" x14ac:dyDescent="0.2">
      <c r="B931" s="179" t="s">
        <v>1200</v>
      </c>
      <c r="C931" s="180" t="s">
        <v>1188</v>
      </c>
      <c r="D931" s="179" t="s">
        <v>214</v>
      </c>
      <c r="E931" s="181">
        <v>0.1</v>
      </c>
    </row>
    <row r="932" spans="2:5" ht="12.75" x14ac:dyDescent="0.2">
      <c r="B932" s="179" t="s">
        <v>1201</v>
      </c>
      <c r="C932" s="180" t="s">
        <v>1188</v>
      </c>
      <c r="D932" s="179" t="s">
        <v>214</v>
      </c>
      <c r="E932" s="181">
        <v>0.1</v>
      </c>
    </row>
    <row r="933" spans="2:5" ht="12.75" x14ac:dyDescent="0.2">
      <c r="B933" s="179" t="s">
        <v>1202</v>
      </c>
      <c r="C933" s="180" t="s">
        <v>1188</v>
      </c>
      <c r="D933" s="179" t="s">
        <v>214</v>
      </c>
      <c r="E933" s="181">
        <v>0.1</v>
      </c>
    </row>
    <row r="934" spans="2:5" ht="12.75" x14ac:dyDescent="0.2">
      <c r="B934" s="179" t="s">
        <v>1203</v>
      </c>
      <c r="C934" s="180" t="s">
        <v>1188</v>
      </c>
      <c r="D934" s="179" t="s">
        <v>214</v>
      </c>
      <c r="E934" s="181">
        <v>0.1</v>
      </c>
    </row>
    <row r="935" spans="2:5" ht="12.75" x14ac:dyDescent="0.2">
      <c r="B935" s="179" t="s">
        <v>1204</v>
      </c>
      <c r="C935" s="180" t="s">
        <v>1188</v>
      </c>
      <c r="D935" s="179" t="s">
        <v>214</v>
      </c>
      <c r="E935" s="181">
        <v>0.1</v>
      </c>
    </row>
    <row r="936" spans="2:5" ht="12.75" x14ac:dyDescent="0.2">
      <c r="B936" s="179" t="s">
        <v>1205</v>
      </c>
      <c r="C936" s="180" t="s">
        <v>1188</v>
      </c>
      <c r="D936" s="179" t="s">
        <v>214</v>
      </c>
      <c r="E936" s="181">
        <v>0.1</v>
      </c>
    </row>
    <row r="937" spans="2:5" ht="12.75" x14ac:dyDescent="0.2">
      <c r="B937" s="179" t="s">
        <v>1206</v>
      </c>
      <c r="C937" s="180" t="s">
        <v>1188</v>
      </c>
      <c r="D937" s="179" t="s">
        <v>214</v>
      </c>
      <c r="E937" s="181">
        <v>0.1</v>
      </c>
    </row>
    <row r="938" spans="2:5" ht="12.75" x14ac:dyDescent="0.2">
      <c r="B938" s="179" t="s">
        <v>1207</v>
      </c>
      <c r="C938" s="180" t="s">
        <v>1188</v>
      </c>
      <c r="D938" s="179" t="s">
        <v>214</v>
      </c>
      <c r="E938" s="181">
        <v>0.1</v>
      </c>
    </row>
    <row r="939" spans="2:5" ht="12.75" x14ac:dyDescent="0.2">
      <c r="B939" s="179" t="s">
        <v>1208</v>
      </c>
      <c r="C939" s="180" t="s">
        <v>1188</v>
      </c>
      <c r="D939" s="179" t="s">
        <v>214</v>
      </c>
      <c r="E939" s="181">
        <v>0.1</v>
      </c>
    </row>
    <row r="940" spans="2:5" ht="12.75" x14ac:dyDescent="0.2">
      <c r="B940" s="179" t="s">
        <v>1209</v>
      </c>
      <c r="C940" s="180" t="s">
        <v>1188</v>
      </c>
      <c r="D940" s="179" t="s">
        <v>214</v>
      </c>
      <c r="E940" s="181">
        <v>0.1</v>
      </c>
    </row>
    <row r="941" spans="2:5" ht="12.75" x14ac:dyDescent="0.2">
      <c r="B941" s="179" t="s">
        <v>1210</v>
      </c>
      <c r="C941" s="180" t="s">
        <v>1188</v>
      </c>
      <c r="D941" s="179" t="s">
        <v>214</v>
      </c>
      <c r="E941" s="181">
        <v>0.1</v>
      </c>
    </row>
    <row r="942" spans="2:5" ht="12.75" x14ac:dyDescent="0.2">
      <c r="B942" s="179" t="s">
        <v>1211</v>
      </c>
      <c r="C942" s="180" t="s">
        <v>1188</v>
      </c>
      <c r="D942" s="179" t="s">
        <v>214</v>
      </c>
      <c r="E942" s="181">
        <v>0.1</v>
      </c>
    </row>
    <row r="943" spans="2:5" ht="12.75" x14ac:dyDescent="0.2">
      <c r="B943" s="179" t="s">
        <v>1212</v>
      </c>
      <c r="C943" s="180" t="s">
        <v>1188</v>
      </c>
      <c r="D943" s="179" t="s">
        <v>214</v>
      </c>
      <c r="E943" s="181">
        <v>0.1</v>
      </c>
    </row>
    <row r="944" spans="2:5" ht="12.75" x14ac:dyDescent="0.2">
      <c r="B944" s="179" t="s">
        <v>1213</v>
      </c>
      <c r="C944" s="180" t="s">
        <v>1188</v>
      </c>
      <c r="D944" s="179" t="s">
        <v>214</v>
      </c>
      <c r="E944" s="181">
        <v>0.1</v>
      </c>
    </row>
    <row r="945" spans="2:5" ht="12.75" x14ac:dyDescent="0.2">
      <c r="B945" s="179" t="s">
        <v>1214</v>
      </c>
      <c r="C945" s="180" t="s">
        <v>1188</v>
      </c>
      <c r="D945" s="179" t="s">
        <v>214</v>
      </c>
      <c r="E945" s="181">
        <v>0.1</v>
      </c>
    </row>
    <row r="946" spans="2:5" ht="12.75" x14ac:dyDescent="0.2">
      <c r="B946" s="179" t="s">
        <v>1215</v>
      </c>
      <c r="C946" s="180" t="s">
        <v>1188</v>
      </c>
      <c r="D946" s="179" t="s">
        <v>214</v>
      </c>
      <c r="E946" s="181">
        <v>0.1</v>
      </c>
    </row>
    <row r="947" spans="2:5" ht="12.75" x14ac:dyDescent="0.2">
      <c r="B947" s="179" t="s">
        <v>1216</v>
      </c>
      <c r="C947" s="180" t="s">
        <v>1188</v>
      </c>
      <c r="D947" s="179" t="s">
        <v>214</v>
      </c>
      <c r="E947" s="181">
        <v>0.1</v>
      </c>
    </row>
    <row r="948" spans="2:5" ht="12.75" x14ac:dyDescent="0.2">
      <c r="B948" s="179" t="s">
        <v>1217</v>
      </c>
      <c r="C948" s="180" t="s">
        <v>1188</v>
      </c>
      <c r="D948" s="179" t="s">
        <v>214</v>
      </c>
      <c r="E948" s="181">
        <v>0.1</v>
      </c>
    </row>
    <row r="949" spans="2:5" ht="12.75" x14ac:dyDescent="0.2">
      <c r="B949" s="179" t="s">
        <v>1218</v>
      </c>
      <c r="C949" s="180" t="s">
        <v>1188</v>
      </c>
      <c r="D949" s="179" t="s">
        <v>214</v>
      </c>
      <c r="E949" s="181">
        <v>0.1</v>
      </c>
    </row>
    <row r="950" spans="2:5" ht="12.75" x14ac:dyDescent="0.2">
      <c r="B950" s="179" t="s">
        <v>1219</v>
      </c>
      <c r="C950" s="180" t="s">
        <v>1188</v>
      </c>
      <c r="D950" s="179" t="s">
        <v>214</v>
      </c>
      <c r="E950" s="181">
        <v>0.1</v>
      </c>
    </row>
    <row r="951" spans="2:5" ht="12.75" x14ac:dyDescent="0.2">
      <c r="B951" s="179" t="s">
        <v>1220</v>
      </c>
      <c r="C951" s="180" t="s">
        <v>1188</v>
      </c>
      <c r="D951" s="179" t="s">
        <v>214</v>
      </c>
      <c r="E951" s="181">
        <v>0.1</v>
      </c>
    </row>
    <row r="952" spans="2:5" ht="12.75" x14ac:dyDescent="0.2">
      <c r="B952" s="179" t="s">
        <v>1221</v>
      </c>
      <c r="C952" s="180" t="s">
        <v>1188</v>
      </c>
      <c r="D952" s="179" t="s">
        <v>214</v>
      </c>
      <c r="E952" s="181">
        <v>0.1</v>
      </c>
    </row>
    <row r="953" spans="2:5" ht="12.75" x14ac:dyDescent="0.2">
      <c r="B953" s="179" t="s">
        <v>1222</v>
      </c>
      <c r="C953" s="180" t="s">
        <v>1188</v>
      </c>
      <c r="D953" s="179" t="s">
        <v>214</v>
      </c>
      <c r="E953" s="181">
        <v>0.1</v>
      </c>
    </row>
    <row r="954" spans="2:5" ht="12.75" x14ac:dyDescent="0.2">
      <c r="B954" s="179" t="s">
        <v>1223</v>
      </c>
      <c r="C954" s="180" t="s">
        <v>1188</v>
      </c>
      <c r="D954" s="179" t="s">
        <v>214</v>
      </c>
      <c r="E954" s="181">
        <v>0.1</v>
      </c>
    </row>
    <row r="955" spans="2:5" ht="12.75" x14ac:dyDescent="0.2">
      <c r="B955" s="179" t="s">
        <v>1224</v>
      </c>
      <c r="C955" s="180" t="s">
        <v>1188</v>
      </c>
      <c r="D955" s="179" t="s">
        <v>214</v>
      </c>
      <c r="E955" s="181">
        <v>0.1</v>
      </c>
    </row>
    <row r="956" spans="2:5" ht="12.75" x14ac:dyDescent="0.2">
      <c r="B956" s="179" t="s">
        <v>1225</v>
      </c>
      <c r="C956" s="180" t="s">
        <v>1188</v>
      </c>
      <c r="D956" s="179" t="s">
        <v>214</v>
      </c>
      <c r="E956" s="181">
        <v>0.1</v>
      </c>
    </row>
    <row r="957" spans="2:5" ht="12.75" x14ac:dyDescent="0.2">
      <c r="B957" s="179" t="s">
        <v>1226</v>
      </c>
      <c r="C957" s="180" t="s">
        <v>1188</v>
      </c>
      <c r="D957" s="179" t="s">
        <v>214</v>
      </c>
      <c r="E957" s="181">
        <v>0.1</v>
      </c>
    </row>
    <row r="958" spans="2:5" ht="12.75" x14ac:dyDescent="0.2">
      <c r="B958" s="179" t="s">
        <v>1227</v>
      </c>
      <c r="C958" s="180" t="s">
        <v>1188</v>
      </c>
      <c r="D958" s="179" t="s">
        <v>214</v>
      </c>
      <c r="E958" s="181">
        <v>0.1</v>
      </c>
    </row>
    <row r="959" spans="2:5" ht="12.75" x14ac:dyDescent="0.2">
      <c r="B959" s="179" t="s">
        <v>1228</v>
      </c>
      <c r="C959" s="180" t="s">
        <v>1188</v>
      </c>
      <c r="D959" s="179" t="s">
        <v>214</v>
      </c>
      <c r="E959" s="181">
        <v>0.1</v>
      </c>
    </row>
    <row r="960" spans="2:5" ht="12.75" x14ac:dyDescent="0.2">
      <c r="B960" s="179" t="s">
        <v>1229</v>
      </c>
      <c r="C960" s="180" t="s">
        <v>1188</v>
      </c>
      <c r="D960" s="179" t="s">
        <v>214</v>
      </c>
      <c r="E960" s="181">
        <v>0.1</v>
      </c>
    </row>
    <row r="961" spans="2:5" ht="12.75" x14ac:dyDescent="0.2">
      <c r="B961" s="179" t="s">
        <v>1230</v>
      </c>
      <c r="C961" s="180" t="s">
        <v>1188</v>
      </c>
      <c r="D961" s="179" t="s">
        <v>214</v>
      </c>
      <c r="E961" s="181">
        <v>0.1</v>
      </c>
    </row>
    <row r="962" spans="2:5" ht="12.75" x14ac:dyDescent="0.2">
      <c r="B962" s="179" t="s">
        <v>1231</v>
      </c>
      <c r="C962" s="180" t="s">
        <v>1188</v>
      </c>
      <c r="D962" s="179" t="s">
        <v>214</v>
      </c>
      <c r="E962" s="181">
        <v>0.1</v>
      </c>
    </row>
    <row r="963" spans="2:5" ht="12.75" x14ac:dyDescent="0.2">
      <c r="B963" s="179" t="s">
        <v>1232</v>
      </c>
      <c r="C963" s="180" t="s">
        <v>1188</v>
      </c>
      <c r="D963" s="179" t="s">
        <v>214</v>
      </c>
      <c r="E963" s="181">
        <v>0.1</v>
      </c>
    </row>
    <row r="964" spans="2:5" ht="12.75" x14ac:dyDescent="0.2">
      <c r="B964" s="179" t="s">
        <v>1233</v>
      </c>
      <c r="C964" s="180" t="s">
        <v>1188</v>
      </c>
      <c r="D964" s="179" t="s">
        <v>214</v>
      </c>
      <c r="E964" s="181">
        <v>0.1</v>
      </c>
    </row>
    <row r="965" spans="2:5" ht="12.75" x14ac:dyDescent="0.2">
      <c r="B965" s="179" t="s">
        <v>1234</v>
      </c>
      <c r="C965" s="180" t="s">
        <v>1188</v>
      </c>
      <c r="D965" s="179" t="s">
        <v>214</v>
      </c>
      <c r="E965" s="181">
        <v>0.1</v>
      </c>
    </row>
    <row r="966" spans="2:5" ht="12.75" x14ac:dyDescent="0.2">
      <c r="B966" s="179" t="s">
        <v>1235</v>
      </c>
      <c r="C966" s="180" t="s">
        <v>1188</v>
      </c>
      <c r="D966" s="179" t="s">
        <v>214</v>
      </c>
      <c r="E966" s="181">
        <v>0.1</v>
      </c>
    </row>
    <row r="967" spans="2:5" ht="12.75" x14ac:dyDescent="0.2">
      <c r="B967" s="179" t="s">
        <v>1236</v>
      </c>
      <c r="C967" s="180" t="s">
        <v>1188</v>
      </c>
      <c r="D967" s="179" t="s">
        <v>214</v>
      </c>
      <c r="E967" s="181">
        <v>0.1</v>
      </c>
    </row>
    <row r="968" spans="2:5" ht="12.75" x14ac:dyDescent="0.2">
      <c r="B968" s="179" t="s">
        <v>1237</v>
      </c>
      <c r="C968" s="180" t="s">
        <v>1188</v>
      </c>
      <c r="D968" s="179" t="s">
        <v>214</v>
      </c>
      <c r="E968" s="181">
        <v>0.1</v>
      </c>
    </row>
    <row r="969" spans="2:5" ht="12.75" x14ac:dyDescent="0.2">
      <c r="B969" s="179" t="s">
        <v>1238</v>
      </c>
      <c r="C969" s="180" t="s">
        <v>1188</v>
      </c>
      <c r="D969" s="179" t="s">
        <v>214</v>
      </c>
      <c r="E969" s="181">
        <v>0.1</v>
      </c>
    </row>
    <row r="970" spans="2:5" ht="12.75" x14ac:dyDescent="0.2">
      <c r="B970" s="179" t="s">
        <v>1239</v>
      </c>
      <c r="C970" s="180" t="s">
        <v>1188</v>
      </c>
      <c r="D970" s="179" t="s">
        <v>214</v>
      </c>
      <c r="E970" s="181">
        <v>0.1</v>
      </c>
    </row>
    <row r="971" spans="2:5" ht="12.75" x14ac:dyDescent="0.2">
      <c r="B971" s="179" t="s">
        <v>1240</v>
      </c>
      <c r="C971" s="180" t="s">
        <v>1188</v>
      </c>
      <c r="D971" s="179" t="s">
        <v>214</v>
      </c>
      <c r="E971" s="181">
        <v>0.1</v>
      </c>
    </row>
    <row r="972" spans="2:5" ht="12.75" x14ac:dyDescent="0.2">
      <c r="B972" s="179" t="s">
        <v>1241</v>
      </c>
      <c r="C972" s="180" t="s">
        <v>1188</v>
      </c>
      <c r="D972" s="179" t="s">
        <v>214</v>
      </c>
      <c r="E972" s="181">
        <v>0.1</v>
      </c>
    </row>
    <row r="973" spans="2:5" ht="12.75" x14ac:dyDescent="0.2">
      <c r="B973" s="179" t="s">
        <v>1242</v>
      </c>
      <c r="C973" s="180" t="s">
        <v>1188</v>
      </c>
      <c r="D973" s="179" t="s">
        <v>214</v>
      </c>
      <c r="E973" s="181">
        <v>0.1</v>
      </c>
    </row>
    <row r="974" spans="2:5" ht="12.75" x14ac:dyDescent="0.2">
      <c r="B974" s="179" t="s">
        <v>1243</v>
      </c>
      <c r="C974" s="180" t="s">
        <v>1188</v>
      </c>
      <c r="D974" s="179" t="s">
        <v>214</v>
      </c>
      <c r="E974" s="181">
        <v>0.1</v>
      </c>
    </row>
    <row r="975" spans="2:5" ht="12.75" x14ac:dyDescent="0.2">
      <c r="B975" s="179" t="s">
        <v>1244</v>
      </c>
      <c r="C975" s="180" t="s">
        <v>1188</v>
      </c>
      <c r="D975" s="179" t="s">
        <v>214</v>
      </c>
      <c r="E975" s="181">
        <v>0.1</v>
      </c>
    </row>
    <row r="976" spans="2:5" ht="12.75" x14ac:dyDescent="0.2">
      <c r="B976" s="179" t="s">
        <v>1245</v>
      </c>
      <c r="C976" s="180" t="s">
        <v>1188</v>
      </c>
      <c r="D976" s="179" t="s">
        <v>214</v>
      </c>
      <c r="E976" s="181">
        <v>0.1</v>
      </c>
    </row>
    <row r="977" spans="2:5" ht="12.75" x14ac:dyDescent="0.2">
      <c r="B977" s="179" t="s">
        <v>1246</v>
      </c>
      <c r="C977" s="180" t="s">
        <v>1188</v>
      </c>
      <c r="D977" s="179" t="s">
        <v>214</v>
      </c>
      <c r="E977" s="181">
        <v>0.1</v>
      </c>
    </row>
    <row r="978" spans="2:5" ht="12.75" x14ac:dyDescent="0.2">
      <c r="B978" s="179" t="s">
        <v>1247</v>
      </c>
      <c r="C978" s="180" t="s">
        <v>1188</v>
      </c>
      <c r="D978" s="179" t="s">
        <v>214</v>
      </c>
      <c r="E978" s="181">
        <v>0.1</v>
      </c>
    </row>
    <row r="979" spans="2:5" ht="12.75" x14ac:dyDescent="0.2">
      <c r="B979" s="179" t="s">
        <v>1248</v>
      </c>
      <c r="C979" s="180" t="s">
        <v>1188</v>
      </c>
      <c r="D979" s="179" t="s">
        <v>214</v>
      </c>
      <c r="E979" s="181">
        <v>0.1</v>
      </c>
    </row>
    <row r="980" spans="2:5" ht="12.75" x14ac:dyDescent="0.2">
      <c r="B980" s="179" t="s">
        <v>1249</v>
      </c>
      <c r="C980" s="180" t="s">
        <v>1188</v>
      </c>
      <c r="D980" s="179" t="s">
        <v>214</v>
      </c>
      <c r="E980" s="181">
        <v>0.1</v>
      </c>
    </row>
    <row r="981" spans="2:5" ht="12.75" x14ac:dyDescent="0.2">
      <c r="B981" s="179" t="s">
        <v>1250</v>
      </c>
      <c r="C981" s="180" t="s">
        <v>1188</v>
      </c>
      <c r="D981" s="179" t="s">
        <v>214</v>
      </c>
      <c r="E981" s="181">
        <v>0.1</v>
      </c>
    </row>
    <row r="982" spans="2:5" ht="12.75" x14ac:dyDescent="0.2">
      <c r="B982" s="179" t="s">
        <v>1251</v>
      </c>
      <c r="C982" s="180" t="s">
        <v>1188</v>
      </c>
      <c r="D982" s="179" t="s">
        <v>214</v>
      </c>
      <c r="E982" s="181">
        <v>0.1</v>
      </c>
    </row>
    <row r="983" spans="2:5" ht="12.75" x14ac:dyDescent="0.2">
      <c r="B983" s="179" t="s">
        <v>1252</v>
      </c>
      <c r="C983" s="180" t="s">
        <v>1188</v>
      </c>
      <c r="D983" s="179" t="s">
        <v>214</v>
      </c>
      <c r="E983" s="181">
        <v>0.1</v>
      </c>
    </row>
    <row r="984" spans="2:5" ht="12.75" x14ac:dyDescent="0.2">
      <c r="B984" s="179" t="s">
        <v>1253</v>
      </c>
      <c r="C984" s="180" t="s">
        <v>1188</v>
      </c>
      <c r="D984" s="179" t="s">
        <v>214</v>
      </c>
      <c r="E984" s="181">
        <v>0.1</v>
      </c>
    </row>
    <row r="985" spans="2:5" ht="12.75" x14ac:dyDescent="0.2">
      <c r="B985" s="179" t="s">
        <v>1254</v>
      </c>
      <c r="C985" s="180" t="s">
        <v>1188</v>
      </c>
      <c r="D985" s="179" t="s">
        <v>214</v>
      </c>
      <c r="E985" s="181">
        <v>0.1</v>
      </c>
    </row>
    <row r="986" spans="2:5" ht="12.75" x14ac:dyDescent="0.2">
      <c r="B986" s="179" t="s">
        <v>1255</v>
      </c>
      <c r="C986" s="180" t="s">
        <v>1188</v>
      </c>
      <c r="D986" s="179" t="s">
        <v>214</v>
      </c>
      <c r="E986" s="181">
        <v>0.1</v>
      </c>
    </row>
    <row r="987" spans="2:5" ht="12.75" x14ac:dyDescent="0.2">
      <c r="B987" s="179" t="s">
        <v>1256</v>
      </c>
      <c r="C987" s="180" t="s">
        <v>1188</v>
      </c>
      <c r="D987" s="179" t="s">
        <v>214</v>
      </c>
      <c r="E987" s="181">
        <v>0.1</v>
      </c>
    </row>
    <row r="988" spans="2:5" ht="12.75" x14ac:dyDescent="0.2">
      <c r="B988" s="179" t="s">
        <v>1257</v>
      </c>
      <c r="C988" s="180" t="s">
        <v>1188</v>
      </c>
      <c r="D988" s="179" t="s">
        <v>214</v>
      </c>
      <c r="E988" s="181">
        <v>0.1</v>
      </c>
    </row>
    <row r="989" spans="2:5" ht="12.75" x14ac:dyDescent="0.2">
      <c r="B989" s="179" t="s">
        <v>1258</v>
      </c>
      <c r="C989" s="180" t="s">
        <v>1259</v>
      </c>
      <c r="D989" s="179" t="s">
        <v>214</v>
      </c>
      <c r="E989" s="181">
        <v>0.5</v>
      </c>
    </row>
    <row r="990" spans="2:5" ht="12.75" x14ac:dyDescent="0.2">
      <c r="B990" s="179" t="s">
        <v>1260</v>
      </c>
      <c r="C990" s="180" t="s">
        <v>1259</v>
      </c>
      <c r="D990" s="179" t="s">
        <v>216</v>
      </c>
      <c r="E990" s="181">
        <v>0.5</v>
      </c>
    </row>
    <row r="991" spans="2:5" ht="12.75" x14ac:dyDescent="0.2">
      <c r="B991" s="179" t="s">
        <v>1261</v>
      </c>
      <c r="C991" s="180" t="s">
        <v>1259</v>
      </c>
      <c r="D991" s="179" t="s">
        <v>216</v>
      </c>
      <c r="E991" s="181">
        <v>0.5</v>
      </c>
    </row>
    <row r="992" spans="2:5" ht="12.75" x14ac:dyDescent="0.2">
      <c r="B992" s="179" t="s">
        <v>1262</v>
      </c>
      <c r="C992" s="180" t="s">
        <v>1259</v>
      </c>
      <c r="D992" s="179" t="s">
        <v>216</v>
      </c>
      <c r="E992" s="181">
        <v>0.5</v>
      </c>
    </row>
    <row r="993" spans="2:5" ht="12.75" x14ac:dyDescent="0.2">
      <c r="B993" s="179" t="s">
        <v>1263</v>
      </c>
      <c r="C993" s="180" t="s">
        <v>1259</v>
      </c>
      <c r="D993" s="179" t="s">
        <v>216</v>
      </c>
      <c r="E993" s="181">
        <v>0.5</v>
      </c>
    </row>
    <row r="994" spans="2:5" ht="12.75" x14ac:dyDescent="0.2">
      <c r="B994" s="179" t="s">
        <v>1264</v>
      </c>
      <c r="C994" s="180" t="s">
        <v>1259</v>
      </c>
      <c r="D994" s="179" t="s">
        <v>216</v>
      </c>
      <c r="E994" s="181">
        <v>0.5</v>
      </c>
    </row>
    <row r="995" spans="2:5" ht="12.75" x14ac:dyDescent="0.2">
      <c r="B995" s="179" t="s">
        <v>1265</v>
      </c>
      <c r="C995" s="180" t="s">
        <v>1259</v>
      </c>
      <c r="D995" s="179" t="s">
        <v>216</v>
      </c>
      <c r="E995" s="181">
        <v>0.5</v>
      </c>
    </row>
    <row r="996" spans="2:5" ht="12.75" x14ac:dyDescent="0.2">
      <c r="B996" s="179" t="s">
        <v>1266</v>
      </c>
      <c r="C996" s="180" t="s">
        <v>1259</v>
      </c>
      <c r="D996" s="179" t="s">
        <v>216</v>
      </c>
      <c r="E996" s="181">
        <v>0.5</v>
      </c>
    </row>
    <row r="997" spans="2:5" ht="12.75" x14ac:dyDescent="0.2">
      <c r="B997" s="179" t="s">
        <v>1267</v>
      </c>
      <c r="C997" s="180" t="s">
        <v>1268</v>
      </c>
      <c r="D997" s="179" t="s">
        <v>214</v>
      </c>
      <c r="E997" s="181">
        <v>2</v>
      </c>
    </row>
    <row r="998" spans="2:5" ht="12.75" x14ac:dyDescent="0.2">
      <c r="B998" s="179" t="s">
        <v>1269</v>
      </c>
      <c r="C998" s="180" t="s">
        <v>1268</v>
      </c>
      <c r="D998" s="179" t="s">
        <v>216</v>
      </c>
      <c r="E998" s="181">
        <v>2</v>
      </c>
    </row>
    <row r="999" spans="2:5" ht="12.75" x14ac:dyDescent="0.2">
      <c r="B999" s="179" t="s">
        <v>1270</v>
      </c>
      <c r="C999" s="180" t="s">
        <v>1271</v>
      </c>
      <c r="D999" s="179" t="s">
        <v>214</v>
      </c>
      <c r="E999" s="181">
        <v>0.5</v>
      </c>
    </row>
    <row r="1000" spans="2:5" ht="12.75" x14ac:dyDescent="0.2">
      <c r="B1000" s="179" t="s">
        <v>1272</v>
      </c>
      <c r="C1000" s="180" t="s">
        <v>1273</v>
      </c>
      <c r="D1000" s="179" t="s">
        <v>214</v>
      </c>
      <c r="E1000" s="181">
        <v>0.1</v>
      </c>
    </row>
    <row r="1001" spans="2:5" ht="12.75" x14ac:dyDescent="0.2">
      <c r="B1001" s="179" t="s">
        <v>1274</v>
      </c>
      <c r="C1001" s="180" t="s">
        <v>1273</v>
      </c>
      <c r="D1001" s="179" t="s">
        <v>216</v>
      </c>
      <c r="E1001" s="181">
        <v>0.1</v>
      </c>
    </row>
    <row r="1002" spans="2:5" ht="12.75" x14ac:dyDescent="0.2">
      <c r="B1002" s="179" t="s">
        <v>1275</v>
      </c>
      <c r="C1002" s="180" t="s">
        <v>1276</v>
      </c>
      <c r="D1002" s="179" t="s">
        <v>214</v>
      </c>
      <c r="E1002" s="181">
        <v>0.5</v>
      </c>
    </row>
    <row r="1003" spans="2:5" ht="12.75" x14ac:dyDescent="0.2">
      <c r="B1003" s="179" t="s">
        <v>1277</v>
      </c>
      <c r="C1003" s="180" t="s">
        <v>1278</v>
      </c>
      <c r="D1003" s="179" t="s">
        <v>214</v>
      </c>
      <c r="E1003" s="181">
        <v>0.1</v>
      </c>
    </row>
    <row r="1004" spans="2:5" ht="12.75" x14ac:dyDescent="0.2">
      <c r="B1004" s="179" t="s">
        <v>1279</v>
      </c>
      <c r="C1004" s="180" t="s">
        <v>1278</v>
      </c>
      <c r="D1004" s="179" t="s">
        <v>216</v>
      </c>
      <c r="E1004" s="181">
        <v>0.1</v>
      </c>
    </row>
    <row r="1005" spans="2:5" ht="12.75" x14ac:dyDescent="0.2">
      <c r="B1005" s="179" t="s">
        <v>1280</v>
      </c>
      <c r="C1005" s="180" t="s">
        <v>1278</v>
      </c>
      <c r="D1005" s="179" t="s">
        <v>216</v>
      </c>
      <c r="E1005" s="181">
        <v>0.1</v>
      </c>
    </row>
    <row r="1006" spans="2:5" ht="12.75" x14ac:dyDescent="0.2">
      <c r="B1006" s="179" t="s">
        <v>1281</v>
      </c>
      <c r="C1006" s="180" t="s">
        <v>1282</v>
      </c>
      <c r="D1006" s="179" t="s">
        <v>214</v>
      </c>
      <c r="E1006" s="181">
        <v>0.5</v>
      </c>
    </row>
    <row r="1007" spans="2:5" ht="12.75" x14ac:dyDescent="0.2">
      <c r="B1007" s="179" t="s">
        <v>1283</v>
      </c>
      <c r="C1007" s="180" t="s">
        <v>1282</v>
      </c>
      <c r="D1007" s="179" t="s">
        <v>216</v>
      </c>
      <c r="E1007" s="181">
        <v>0.5</v>
      </c>
    </row>
    <row r="1008" spans="2:5" ht="12.75" x14ac:dyDescent="0.2">
      <c r="B1008" s="179" t="s">
        <v>1284</v>
      </c>
      <c r="C1008" s="180" t="s">
        <v>1282</v>
      </c>
      <c r="D1008" s="179" t="s">
        <v>216</v>
      </c>
      <c r="E1008" s="181">
        <v>0.5</v>
      </c>
    </row>
    <row r="1009" spans="2:5" ht="12.75" x14ac:dyDescent="0.2">
      <c r="B1009" s="179" t="s">
        <v>1285</v>
      </c>
      <c r="C1009" s="180" t="s">
        <v>1282</v>
      </c>
      <c r="D1009" s="179" t="s">
        <v>216</v>
      </c>
      <c r="E1009" s="181">
        <v>0.5</v>
      </c>
    </row>
    <row r="1010" spans="2:5" ht="12.75" x14ac:dyDescent="0.2">
      <c r="B1010" s="179" t="s">
        <v>1286</v>
      </c>
      <c r="C1010" s="180" t="s">
        <v>1282</v>
      </c>
      <c r="D1010" s="179" t="s">
        <v>216</v>
      </c>
      <c r="E1010" s="181">
        <v>0.5</v>
      </c>
    </row>
    <row r="1011" spans="2:5" ht="12.75" x14ac:dyDescent="0.2">
      <c r="B1011" s="179" t="s">
        <v>1287</v>
      </c>
      <c r="C1011" s="180" t="s">
        <v>1282</v>
      </c>
      <c r="D1011" s="179" t="s">
        <v>216</v>
      </c>
      <c r="E1011" s="181">
        <v>0.5</v>
      </c>
    </row>
    <row r="1012" spans="2:5" ht="12.75" x14ac:dyDescent="0.2">
      <c r="B1012" s="179" t="s">
        <v>1288</v>
      </c>
      <c r="C1012" s="180" t="s">
        <v>1289</v>
      </c>
      <c r="D1012" s="179" t="s">
        <v>214</v>
      </c>
      <c r="E1012" s="181">
        <v>1</v>
      </c>
    </row>
    <row r="1013" spans="2:5" ht="12.75" x14ac:dyDescent="0.2">
      <c r="B1013" s="179" t="s">
        <v>1290</v>
      </c>
      <c r="C1013" s="180" t="s">
        <v>1289</v>
      </c>
      <c r="D1013" s="179" t="s">
        <v>216</v>
      </c>
      <c r="E1013" s="181">
        <v>1</v>
      </c>
    </row>
    <row r="1014" spans="2:5" ht="12.75" x14ac:dyDescent="0.2">
      <c r="B1014" s="179" t="s">
        <v>1291</v>
      </c>
      <c r="C1014" s="180" t="s">
        <v>1289</v>
      </c>
      <c r="D1014" s="179" t="s">
        <v>216</v>
      </c>
      <c r="E1014" s="181">
        <v>1</v>
      </c>
    </row>
    <row r="1015" spans="2:5" ht="12.75" x14ac:dyDescent="0.2">
      <c r="B1015" s="179" t="s">
        <v>1292</v>
      </c>
      <c r="C1015" s="180" t="s">
        <v>1289</v>
      </c>
      <c r="D1015" s="179" t="s">
        <v>216</v>
      </c>
      <c r="E1015" s="181">
        <v>1</v>
      </c>
    </row>
    <row r="1016" spans="2:5" ht="12.75" x14ac:dyDescent="0.2">
      <c r="B1016" s="179" t="s">
        <v>1293</v>
      </c>
      <c r="C1016" s="180" t="s">
        <v>1289</v>
      </c>
      <c r="D1016" s="179" t="s">
        <v>216</v>
      </c>
      <c r="E1016" s="181">
        <v>1</v>
      </c>
    </row>
    <row r="1017" spans="2:5" ht="12.75" x14ac:dyDescent="0.2">
      <c r="B1017" s="179" t="s">
        <v>1294</v>
      </c>
      <c r="C1017" s="180" t="s">
        <v>1289</v>
      </c>
      <c r="D1017" s="179" t="s">
        <v>216</v>
      </c>
      <c r="E1017" s="181">
        <v>1</v>
      </c>
    </row>
    <row r="1018" spans="2:5" ht="12.75" x14ac:dyDescent="0.2">
      <c r="B1018" s="179" t="s">
        <v>1295</v>
      </c>
      <c r="C1018" s="180" t="s">
        <v>1289</v>
      </c>
      <c r="D1018" s="179" t="s">
        <v>216</v>
      </c>
      <c r="E1018" s="181">
        <v>1</v>
      </c>
    </row>
    <row r="1019" spans="2:5" ht="12.75" x14ac:dyDescent="0.2">
      <c r="B1019" s="179" t="s">
        <v>1296</v>
      </c>
      <c r="C1019" s="180" t="s">
        <v>1289</v>
      </c>
      <c r="D1019" s="179" t="s">
        <v>216</v>
      </c>
      <c r="E1019" s="181">
        <v>1</v>
      </c>
    </row>
    <row r="1020" spans="2:5" ht="12.75" x14ac:dyDescent="0.2">
      <c r="B1020" s="179" t="s">
        <v>1297</v>
      </c>
      <c r="C1020" s="180" t="s">
        <v>1289</v>
      </c>
      <c r="D1020" s="179" t="s">
        <v>216</v>
      </c>
      <c r="E1020" s="181">
        <v>1</v>
      </c>
    </row>
    <row r="1021" spans="2:5" ht="12.75" x14ac:dyDescent="0.2">
      <c r="B1021" s="179" t="s">
        <v>1298</v>
      </c>
      <c r="C1021" s="180" t="s">
        <v>1289</v>
      </c>
      <c r="D1021" s="179" t="s">
        <v>216</v>
      </c>
      <c r="E1021" s="181">
        <v>1</v>
      </c>
    </row>
    <row r="1022" spans="2:5" ht="12.75" x14ac:dyDescent="0.2">
      <c r="B1022" s="179" t="s">
        <v>1299</v>
      </c>
      <c r="C1022" s="180" t="s">
        <v>1289</v>
      </c>
      <c r="D1022" s="179" t="s">
        <v>216</v>
      </c>
      <c r="E1022" s="181">
        <v>1</v>
      </c>
    </row>
    <row r="1023" spans="2:5" ht="12.75" x14ac:dyDescent="0.2">
      <c r="B1023" s="179" t="s">
        <v>1300</v>
      </c>
      <c r="C1023" s="180" t="s">
        <v>1289</v>
      </c>
      <c r="D1023" s="179" t="s">
        <v>216</v>
      </c>
      <c r="E1023" s="181">
        <v>1</v>
      </c>
    </row>
    <row r="1024" spans="2:5" ht="12.75" x14ac:dyDescent="0.2">
      <c r="B1024" s="179" t="s">
        <v>1301</v>
      </c>
      <c r="C1024" s="180" t="s">
        <v>1289</v>
      </c>
      <c r="D1024" s="179" t="s">
        <v>216</v>
      </c>
      <c r="E1024" s="181">
        <v>1</v>
      </c>
    </row>
    <row r="1025" spans="2:5" ht="12.75" x14ac:dyDescent="0.2">
      <c r="B1025" s="179" t="s">
        <v>1302</v>
      </c>
      <c r="C1025" s="180" t="s">
        <v>1289</v>
      </c>
      <c r="D1025" s="179" t="s">
        <v>216</v>
      </c>
      <c r="E1025" s="181">
        <v>1</v>
      </c>
    </row>
    <row r="1026" spans="2:5" ht="12.75" x14ac:dyDescent="0.2">
      <c r="B1026" s="179" t="s">
        <v>1303</v>
      </c>
      <c r="C1026" s="180" t="s">
        <v>1289</v>
      </c>
      <c r="D1026" s="179" t="s">
        <v>216</v>
      </c>
      <c r="E1026" s="181">
        <v>1</v>
      </c>
    </row>
    <row r="1027" spans="2:5" ht="12.75" x14ac:dyDescent="0.2">
      <c r="B1027" s="179" t="s">
        <v>1304</v>
      </c>
      <c r="C1027" s="180" t="s">
        <v>1289</v>
      </c>
      <c r="D1027" s="179" t="s">
        <v>216</v>
      </c>
      <c r="E1027" s="181">
        <v>1</v>
      </c>
    </row>
    <row r="1028" spans="2:5" ht="12.75" x14ac:dyDescent="0.2">
      <c r="B1028" s="179" t="s">
        <v>1305</v>
      </c>
      <c r="C1028" s="180" t="s">
        <v>1289</v>
      </c>
      <c r="D1028" s="179" t="s">
        <v>216</v>
      </c>
      <c r="E1028" s="181">
        <v>1</v>
      </c>
    </row>
    <row r="1029" spans="2:5" ht="12.75" x14ac:dyDescent="0.2">
      <c r="B1029" s="179" t="s">
        <v>1306</v>
      </c>
      <c r="C1029" s="180" t="s">
        <v>1289</v>
      </c>
      <c r="D1029" s="179" t="s">
        <v>216</v>
      </c>
      <c r="E1029" s="181">
        <v>1</v>
      </c>
    </row>
    <row r="1030" spans="2:5" ht="12.75" x14ac:dyDescent="0.2">
      <c r="B1030" s="179" t="s">
        <v>1307</v>
      </c>
      <c r="C1030" s="180" t="s">
        <v>1289</v>
      </c>
      <c r="D1030" s="179" t="s">
        <v>216</v>
      </c>
      <c r="E1030" s="181">
        <v>1</v>
      </c>
    </row>
    <row r="1031" spans="2:5" ht="12.75" x14ac:dyDescent="0.2">
      <c r="B1031" s="179" t="s">
        <v>1308</v>
      </c>
      <c r="C1031" s="180" t="s">
        <v>1289</v>
      </c>
      <c r="D1031" s="179" t="s">
        <v>216</v>
      </c>
      <c r="E1031" s="181">
        <v>1</v>
      </c>
    </row>
    <row r="1032" spans="2:5" ht="12.75" x14ac:dyDescent="0.2">
      <c r="B1032" s="179" t="s">
        <v>1309</v>
      </c>
      <c r="C1032" s="180" t="s">
        <v>1289</v>
      </c>
      <c r="D1032" s="179" t="s">
        <v>216</v>
      </c>
      <c r="E1032" s="181">
        <v>1</v>
      </c>
    </row>
    <row r="1033" spans="2:5" ht="12.75" x14ac:dyDescent="0.2">
      <c r="B1033" s="179" t="s">
        <v>1310</v>
      </c>
      <c r="C1033" s="180" t="s">
        <v>1289</v>
      </c>
      <c r="D1033" s="179" t="s">
        <v>216</v>
      </c>
      <c r="E1033" s="181">
        <v>1</v>
      </c>
    </row>
    <row r="1034" spans="2:5" ht="12.75" x14ac:dyDescent="0.2">
      <c r="B1034" s="179" t="s">
        <v>1311</v>
      </c>
      <c r="C1034" s="180" t="s">
        <v>1289</v>
      </c>
      <c r="D1034" s="179" t="s">
        <v>216</v>
      </c>
      <c r="E1034" s="181">
        <v>1</v>
      </c>
    </row>
    <row r="1035" spans="2:5" ht="12.75" x14ac:dyDescent="0.2">
      <c r="B1035" s="179" t="s">
        <v>1312</v>
      </c>
      <c r="C1035" s="180" t="s">
        <v>1289</v>
      </c>
      <c r="D1035" s="179" t="s">
        <v>216</v>
      </c>
      <c r="E1035" s="181">
        <v>1</v>
      </c>
    </row>
    <row r="1036" spans="2:5" ht="12.75" x14ac:dyDescent="0.2">
      <c r="B1036" s="179" t="s">
        <v>1313</v>
      </c>
      <c r="C1036" s="180" t="s">
        <v>1289</v>
      </c>
      <c r="D1036" s="179" t="s">
        <v>216</v>
      </c>
      <c r="E1036" s="181">
        <v>1</v>
      </c>
    </row>
    <row r="1037" spans="2:5" ht="12.75" x14ac:dyDescent="0.2">
      <c r="B1037" s="179" t="s">
        <v>1314</v>
      </c>
      <c r="C1037" s="180" t="s">
        <v>1289</v>
      </c>
      <c r="D1037" s="179" t="s">
        <v>216</v>
      </c>
      <c r="E1037" s="181">
        <v>1</v>
      </c>
    </row>
    <row r="1038" spans="2:5" ht="12.75" x14ac:dyDescent="0.2">
      <c r="B1038" s="179" t="s">
        <v>1315</v>
      </c>
      <c r="C1038" s="180" t="s">
        <v>1289</v>
      </c>
      <c r="D1038" s="179" t="s">
        <v>216</v>
      </c>
      <c r="E1038" s="181">
        <v>1</v>
      </c>
    </row>
    <row r="1039" spans="2:5" ht="12.75" x14ac:dyDescent="0.2">
      <c r="B1039" s="179" t="s">
        <v>1316</v>
      </c>
      <c r="C1039" s="180" t="s">
        <v>1289</v>
      </c>
      <c r="D1039" s="179" t="s">
        <v>216</v>
      </c>
      <c r="E1039" s="181">
        <v>1</v>
      </c>
    </row>
    <row r="1040" spans="2:5" ht="12.75" x14ac:dyDescent="0.2">
      <c r="B1040" s="179" t="s">
        <v>1317</v>
      </c>
      <c r="C1040" s="180" t="s">
        <v>1289</v>
      </c>
      <c r="D1040" s="179" t="s">
        <v>216</v>
      </c>
      <c r="E1040" s="181">
        <v>1</v>
      </c>
    </row>
    <row r="1041" spans="2:5" ht="12.75" x14ac:dyDescent="0.2">
      <c r="B1041" s="179" t="s">
        <v>1318</v>
      </c>
      <c r="C1041" s="180" t="s">
        <v>1289</v>
      </c>
      <c r="D1041" s="179" t="s">
        <v>216</v>
      </c>
      <c r="E1041" s="181">
        <v>1</v>
      </c>
    </row>
    <row r="1042" spans="2:5" ht="12.75" x14ac:dyDescent="0.2">
      <c r="B1042" s="179" t="s">
        <v>1319</v>
      </c>
      <c r="C1042" s="180" t="s">
        <v>1289</v>
      </c>
      <c r="D1042" s="179" t="s">
        <v>216</v>
      </c>
      <c r="E1042" s="181">
        <v>1</v>
      </c>
    </row>
    <row r="1043" spans="2:5" ht="12.75" x14ac:dyDescent="0.2">
      <c r="B1043" s="179" t="s">
        <v>1320</v>
      </c>
      <c r="C1043" s="180" t="s">
        <v>1289</v>
      </c>
      <c r="D1043" s="179" t="s">
        <v>216</v>
      </c>
      <c r="E1043" s="181">
        <v>1</v>
      </c>
    </row>
    <row r="1044" spans="2:5" ht="12.75" x14ac:dyDescent="0.2">
      <c r="B1044" s="179" t="s">
        <v>1321</v>
      </c>
      <c r="C1044" s="180" t="s">
        <v>1289</v>
      </c>
      <c r="D1044" s="179" t="s">
        <v>216</v>
      </c>
      <c r="E1044" s="181">
        <v>1</v>
      </c>
    </row>
    <row r="1045" spans="2:5" ht="12.75" x14ac:dyDescent="0.2">
      <c r="B1045" s="179" t="s">
        <v>1322</v>
      </c>
      <c r="C1045" s="180" t="s">
        <v>1289</v>
      </c>
      <c r="D1045" s="179" t="s">
        <v>216</v>
      </c>
      <c r="E1045" s="181">
        <v>1</v>
      </c>
    </row>
    <row r="1046" spans="2:5" ht="12.75" x14ac:dyDescent="0.2">
      <c r="B1046" s="179" t="s">
        <v>1323</v>
      </c>
      <c r="C1046" s="180" t="s">
        <v>1289</v>
      </c>
      <c r="D1046" s="179" t="s">
        <v>216</v>
      </c>
      <c r="E1046" s="181">
        <v>1</v>
      </c>
    </row>
    <row r="1047" spans="2:5" ht="12.75" x14ac:dyDescent="0.2">
      <c r="B1047" s="179" t="s">
        <v>1324</v>
      </c>
      <c r="C1047" s="180" t="s">
        <v>1289</v>
      </c>
      <c r="D1047" s="179" t="s">
        <v>216</v>
      </c>
      <c r="E1047" s="181">
        <v>1</v>
      </c>
    </row>
    <row r="1048" spans="2:5" ht="12.75" x14ac:dyDescent="0.2">
      <c r="B1048" s="179" t="s">
        <v>1325</v>
      </c>
      <c r="C1048" s="180" t="s">
        <v>1289</v>
      </c>
      <c r="D1048" s="179" t="s">
        <v>216</v>
      </c>
      <c r="E1048" s="181">
        <v>1</v>
      </c>
    </row>
    <row r="1049" spans="2:5" ht="12.75" x14ac:dyDescent="0.2">
      <c r="B1049" s="179" t="s">
        <v>1326</v>
      </c>
      <c r="C1049" s="180" t="s">
        <v>1289</v>
      </c>
      <c r="D1049" s="179" t="s">
        <v>216</v>
      </c>
      <c r="E1049" s="181">
        <v>1</v>
      </c>
    </row>
    <row r="1050" spans="2:5" ht="12.75" x14ac:dyDescent="0.2">
      <c r="B1050" s="179" t="s">
        <v>1327</v>
      </c>
      <c r="C1050" s="180" t="s">
        <v>1289</v>
      </c>
      <c r="D1050" s="179" t="s">
        <v>216</v>
      </c>
      <c r="E1050" s="181">
        <v>1</v>
      </c>
    </row>
    <row r="1051" spans="2:5" ht="12.75" x14ac:dyDescent="0.2">
      <c r="B1051" s="179" t="s">
        <v>1328</v>
      </c>
      <c r="C1051" s="180" t="s">
        <v>1329</v>
      </c>
      <c r="D1051" s="179" t="s">
        <v>214</v>
      </c>
      <c r="E1051" s="181">
        <v>2</v>
      </c>
    </row>
    <row r="1052" spans="2:5" ht="12.75" x14ac:dyDescent="0.2">
      <c r="B1052" s="179" t="s">
        <v>1330</v>
      </c>
      <c r="C1052" s="180" t="s">
        <v>1331</v>
      </c>
      <c r="D1052" s="179" t="s">
        <v>214</v>
      </c>
      <c r="E1052" s="181">
        <v>0.5</v>
      </c>
    </row>
    <row r="1053" spans="2:5" ht="12.75" x14ac:dyDescent="0.2">
      <c r="B1053" s="179" t="s">
        <v>1332</v>
      </c>
      <c r="C1053" s="180" t="s">
        <v>1331</v>
      </c>
      <c r="D1053" s="179" t="s">
        <v>216</v>
      </c>
      <c r="E1053" s="181">
        <v>0.5</v>
      </c>
    </row>
    <row r="1054" spans="2:5" ht="12.75" x14ac:dyDescent="0.2">
      <c r="B1054" s="179" t="s">
        <v>1333</v>
      </c>
      <c r="C1054" s="180" t="s">
        <v>1331</v>
      </c>
      <c r="D1054" s="179" t="s">
        <v>216</v>
      </c>
      <c r="E1054" s="181">
        <v>0.5</v>
      </c>
    </row>
    <row r="1055" spans="2:5" ht="12.75" x14ac:dyDescent="0.2">
      <c r="B1055" s="179" t="s">
        <v>1334</v>
      </c>
      <c r="C1055" s="180" t="s">
        <v>1331</v>
      </c>
      <c r="D1055" s="179" t="s">
        <v>216</v>
      </c>
      <c r="E1055" s="181">
        <v>0.5</v>
      </c>
    </row>
    <row r="1056" spans="2:5" ht="12.75" x14ac:dyDescent="0.2">
      <c r="B1056" s="179" t="s">
        <v>1335</v>
      </c>
      <c r="C1056" s="180" t="s">
        <v>1331</v>
      </c>
      <c r="D1056" s="179" t="s">
        <v>216</v>
      </c>
      <c r="E1056" s="181">
        <v>0.5</v>
      </c>
    </row>
    <row r="1057" spans="2:5" ht="12.75" x14ac:dyDescent="0.2">
      <c r="B1057" s="179" t="s">
        <v>1336</v>
      </c>
      <c r="C1057" s="180" t="s">
        <v>1331</v>
      </c>
      <c r="D1057" s="179" t="s">
        <v>216</v>
      </c>
      <c r="E1057" s="181">
        <v>0.5</v>
      </c>
    </row>
    <row r="1058" spans="2:5" ht="12.75" x14ac:dyDescent="0.2">
      <c r="B1058" s="179" t="s">
        <v>1337</v>
      </c>
      <c r="C1058" s="180" t="s">
        <v>1331</v>
      </c>
      <c r="D1058" s="179" t="s">
        <v>216</v>
      </c>
      <c r="E1058" s="181">
        <v>0.5</v>
      </c>
    </row>
    <row r="1059" spans="2:5" ht="12.75" x14ac:dyDescent="0.2">
      <c r="B1059" s="179" t="s">
        <v>1338</v>
      </c>
      <c r="C1059" s="180" t="s">
        <v>1331</v>
      </c>
      <c r="D1059" s="179" t="s">
        <v>216</v>
      </c>
      <c r="E1059" s="181">
        <v>0.5</v>
      </c>
    </row>
    <row r="1060" spans="2:5" ht="12.75" x14ac:dyDescent="0.2">
      <c r="B1060" s="179" t="s">
        <v>1339</v>
      </c>
      <c r="C1060" s="180" t="s">
        <v>1331</v>
      </c>
      <c r="D1060" s="179" t="s">
        <v>216</v>
      </c>
      <c r="E1060" s="181">
        <v>0.5</v>
      </c>
    </row>
    <row r="1061" spans="2:5" ht="12.75" x14ac:dyDescent="0.2">
      <c r="B1061" s="179" t="s">
        <v>1340</v>
      </c>
      <c r="C1061" s="180" t="s">
        <v>1331</v>
      </c>
      <c r="D1061" s="179" t="s">
        <v>216</v>
      </c>
      <c r="E1061" s="181">
        <v>0.5</v>
      </c>
    </row>
    <row r="1062" spans="2:5" ht="12.75" x14ac:dyDescent="0.2">
      <c r="B1062" s="179" t="s">
        <v>1341</v>
      </c>
      <c r="C1062" s="180" t="s">
        <v>1331</v>
      </c>
      <c r="D1062" s="179" t="s">
        <v>216</v>
      </c>
      <c r="E1062" s="181">
        <v>0.5</v>
      </c>
    </row>
    <row r="1063" spans="2:5" ht="12.75" x14ac:dyDescent="0.2">
      <c r="B1063" s="179" t="s">
        <v>1342</v>
      </c>
      <c r="C1063" s="180" t="s">
        <v>1331</v>
      </c>
      <c r="D1063" s="179" t="s">
        <v>216</v>
      </c>
      <c r="E1063" s="181">
        <v>0.5</v>
      </c>
    </row>
    <row r="1064" spans="2:5" ht="12.75" x14ac:dyDescent="0.2">
      <c r="B1064" s="179" t="s">
        <v>1343</v>
      </c>
      <c r="C1064" s="180" t="s">
        <v>1331</v>
      </c>
      <c r="D1064" s="179" t="s">
        <v>216</v>
      </c>
      <c r="E1064" s="181">
        <v>0.5</v>
      </c>
    </row>
    <row r="1065" spans="2:5" ht="12.75" x14ac:dyDescent="0.2">
      <c r="B1065" s="179" t="s">
        <v>1344</v>
      </c>
      <c r="C1065" s="180" t="s">
        <v>1331</v>
      </c>
      <c r="D1065" s="179" t="s">
        <v>216</v>
      </c>
      <c r="E1065" s="181">
        <v>0.5</v>
      </c>
    </row>
    <row r="1066" spans="2:5" ht="12.75" x14ac:dyDescent="0.2">
      <c r="B1066" s="179" t="s">
        <v>1345</v>
      </c>
      <c r="C1066" s="180" t="s">
        <v>1331</v>
      </c>
      <c r="D1066" s="179" t="s">
        <v>216</v>
      </c>
      <c r="E1066" s="181">
        <v>0.5</v>
      </c>
    </row>
    <row r="1067" spans="2:5" ht="12.75" x14ac:dyDescent="0.2">
      <c r="B1067" s="179" t="s">
        <v>1346</v>
      </c>
      <c r="C1067" s="180" t="s">
        <v>1331</v>
      </c>
      <c r="D1067" s="179" t="s">
        <v>216</v>
      </c>
      <c r="E1067" s="181">
        <v>0.5</v>
      </c>
    </row>
    <row r="1068" spans="2:5" ht="12.75" x14ac:dyDescent="0.2">
      <c r="B1068" s="179" t="s">
        <v>1347</v>
      </c>
      <c r="C1068" s="180" t="s">
        <v>1331</v>
      </c>
      <c r="D1068" s="179" t="s">
        <v>216</v>
      </c>
      <c r="E1068" s="181">
        <v>0.5</v>
      </c>
    </row>
    <row r="1069" spans="2:5" ht="12.75" x14ac:dyDescent="0.2">
      <c r="B1069" s="179" t="s">
        <v>1348</v>
      </c>
      <c r="C1069" s="180" t="s">
        <v>1331</v>
      </c>
      <c r="D1069" s="179" t="s">
        <v>216</v>
      </c>
      <c r="E1069" s="181">
        <v>0.5</v>
      </c>
    </row>
    <row r="1070" spans="2:5" ht="12.75" x14ac:dyDescent="0.2">
      <c r="B1070" s="179" t="s">
        <v>1349</v>
      </c>
      <c r="C1070" s="180" t="s">
        <v>1331</v>
      </c>
      <c r="D1070" s="179" t="s">
        <v>216</v>
      </c>
      <c r="E1070" s="181">
        <v>0.5</v>
      </c>
    </row>
    <row r="1071" spans="2:5" ht="12.75" x14ac:dyDescent="0.2">
      <c r="B1071" s="179" t="s">
        <v>1350</v>
      </c>
      <c r="C1071" s="180" t="s">
        <v>1351</v>
      </c>
      <c r="D1071" s="179" t="s">
        <v>214</v>
      </c>
      <c r="E1071" s="181">
        <v>0.5</v>
      </c>
    </row>
    <row r="1072" spans="2:5" ht="12.75" x14ac:dyDescent="0.2">
      <c r="B1072" s="179" t="s">
        <v>1352</v>
      </c>
      <c r="C1072" s="180" t="s">
        <v>1351</v>
      </c>
      <c r="D1072" s="179" t="s">
        <v>216</v>
      </c>
      <c r="E1072" s="181">
        <v>0.5</v>
      </c>
    </row>
    <row r="1073" spans="2:5" ht="12.75" x14ac:dyDescent="0.2">
      <c r="B1073" s="179" t="s">
        <v>1353</v>
      </c>
      <c r="C1073" s="180" t="s">
        <v>1351</v>
      </c>
      <c r="D1073" s="179" t="s">
        <v>216</v>
      </c>
      <c r="E1073" s="181">
        <v>0.5</v>
      </c>
    </row>
    <row r="1074" spans="2:5" ht="12.75" x14ac:dyDescent="0.2">
      <c r="B1074" s="179" t="s">
        <v>1354</v>
      </c>
      <c r="C1074" s="180" t="s">
        <v>1351</v>
      </c>
      <c r="D1074" s="179" t="s">
        <v>216</v>
      </c>
      <c r="E1074" s="181">
        <v>0.5</v>
      </c>
    </row>
    <row r="1075" spans="2:5" ht="12.75" x14ac:dyDescent="0.2">
      <c r="B1075" s="179" t="s">
        <v>1355</v>
      </c>
      <c r="C1075" s="180" t="s">
        <v>1351</v>
      </c>
      <c r="D1075" s="179" t="s">
        <v>216</v>
      </c>
      <c r="E1075" s="181">
        <v>0.5</v>
      </c>
    </row>
    <row r="1076" spans="2:5" ht="12.75" x14ac:dyDescent="0.2">
      <c r="B1076" s="179" t="s">
        <v>1356</v>
      </c>
      <c r="C1076" s="180" t="s">
        <v>1357</v>
      </c>
      <c r="D1076" s="179" t="s">
        <v>214</v>
      </c>
      <c r="E1076" s="181">
        <v>0.5</v>
      </c>
    </row>
    <row r="1077" spans="2:5" ht="12.75" x14ac:dyDescent="0.2">
      <c r="B1077" s="179" t="s">
        <v>1358</v>
      </c>
      <c r="C1077" s="180" t="s">
        <v>1357</v>
      </c>
      <c r="D1077" s="179" t="s">
        <v>216</v>
      </c>
      <c r="E1077" s="181">
        <v>0.5</v>
      </c>
    </row>
    <row r="1078" spans="2:5" ht="12.75" x14ac:dyDescent="0.2">
      <c r="B1078" s="179" t="s">
        <v>1359</v>
      </c>
      <c r="C1078" s="180" t="s">
        <v>1357</v>
      </c>
      <c r="D1078" s="179" t="s">
        <v>216</v>
      </c>
      <c r="E1078" s="181">
        <v>0.5</v>
      </c>
    </row>
    <row r="1079" spans="2:5" ht="12.75" x14ac:dyDescent="0.2">
      <c r="B1079" s="179" t="s">
        <v>1360</v>
      </c>
      <c r="C1079" s="180" t="s">
        <v>1357</v>
      </c>
      <c r="D1079" s="179" t="s">
        <v>216</v>
      </c>
      <c r="E1079" s="181">
        <v>0.5</v>
      </c>
    </row>
    <row r="1080" spans="2:5" ht="12.75" x14ac:dyDescent="0.2">
      <c r="B1080" s="179" t="s">
        <v>1361</v>
      </c>
      <c r="C1080" s="180" t="s">
        <v>1357</v>
      </c>
      <c r="D1080" s="179" t="s">
        <v>216</v>
      </c>
      <c r="E1080" s="181">
        <v>0.5</v>
      </c>
    </row>
    <row r="1081" spans="2:5" ht="12.75" x14ac:dyDescent="0.2">
      <c r="B1081" s="179" t="s">
        <v>1362</v>
      </c>
      <c r="C1081" s="180" t="s">
        <v>1363</v>
      </c>
      <c r="D1081" s="179" t="s">
        <v>214</v>
      </c>
      <c r="E1081" s="181">
        <v>0.1</v>
      </c>
    </row>
    <row r="1082" spans="2:5" ht="12.75" x14ac:dyDescent="0.2">
      <c r="B1082" s="179" t="s">
        <v>1364</v>
      </c>
      <c r="C1082" s="180" t="s">
        <v>1365</v>
      </c>
      <c r="D1082" s="179" t="s">
        <v>216</v>
      </c>
      <c r="E1082" s="181">
        <v>0.5</v>
      </c>
    </row>
    <row r="1083" spans="2:5" ht="12.75" x14ac:dyDescent="0.2">
      <c r="B1083" s="179" t="s">
        <v>1366</v>
      </c>
      <c r="C1083" s="180" t="s">
        <v>1365</v>
      </c>
      <c r="D1083" s="179" t="s">
        <v>216</v>
      </c>
      <c r="E1083" s="181">
        <v>0.5</v>
      </c>
    </row>
    <row r="1084" spans="2:5" ht="12.75" x14ac:dyDescent="0.2">
      <c r="B1084" s="179" t="s">
        <v>1367</v>
      </c>
      <c r="C1084" s="180" t="s">
        <v>1365</v>
      </c>
      <c r="D1084" s="179" t="s">
        <v>216</v>
      </c>
      <c r="E1084" s="181">
        <v>0.5</v>
      </c>
    </row>
    <row r="1085" spans="2:5" ht="12.75" x14ac:dyDescent="0.2">
      <c r="B1085" s="179" t="s">
        <v>1368</v>
      </c>
      <c r="C1085" s="180" t="s">
        <v>1365</v>
      </c>
      <c r="D1085" s="179" t="s">
        <v>216</v>
      </c>
      <c r="E1085" s="181">
        <v>0.5</v>
      </c>
    </row>
    <row r="1086" spans="2:5" ht="12.75" x14ac:dyDescent="0.2">
      <c r="B1086" s="179" t="s">
        <v>1369</v>
      </c>
      <c r="C1086" s="180" t="s">
        <v>1365</v>
      </c>
      <c r="D1086" s="179" t="s">
        <v>216</v>
      </c>
      <c r="E1086" s="181">
        <v>0.5</v>
      </c>
    </row>
    <row r="1087" spans="2:5" ht="12.75" x14ac:dyDescent="0.2">
      <c r="B1087" s="179" t="s">
        <v>1370</v>
      </c>
      <c r="C1087" s="180" t="s">
        <v>1365</v>
      </c>
      <c r="D1087" s="179" t="s">
        <v>216</v>
      </c>
      <c r="E1087" s="181">
        <v>0.5</v>
      </c>
    </row>
    <row r="1088" spans="2:5" ht="12.75" x14ac:dyDescent="0.2">
      <c r="B1088" s="179" t="s">
        <v>1371</v>
      </c>
      <c r="C1088" s="180" t="s">
        <v>1365</v>
      </c>
      <c r="D1088" s="179" t="s">
        <v>216</v>
      </c>
      <c r="E1088" s="181">
        <v>0.5</v>
      </c>
    </row>
    <row r="1089" spans="2:5" ht="12.75" x14ac:dyDescent="0.2">
      <c r="B1089" s="179" t="s">
        <v>1372</v>
      </c>
      <c r="C1089" s="180" t="s">
        <v>1365</v>
      </c>
      <c r="D1089" s="179" t="s">
        <v>216</v>
      </c>
      <c r="E1089" s="181">
        <v>0.5</v>
      </c>
    </row>
    <row r="1090" spans="2:5" ht="12.75" x14ac:dyDescent="0.2">
      <c r="B1090" s="179" t="s">
        <v>1373</v>
      </c>
      <c r="C1090" s="180" t="s">
        <v>1365</v>
      </c>
      <c r="D1090" s="179" t="s">
        <v>216</v>
      </c>
      <c r="E1090" s="181">
        <v>0.5</v>
      </c>
    </row>
    <row r="1091" spans="2:5" ht="12.75" x14ac:dyDescent="0.2">
      <c r="B1091" s="179" t="s">
        <v>1374</v>
      </c>
      <c r="C1091" s="180" t="s">
        <v>1365</v>
      </c>
      <c r="D1091" s="179" t="s">
        <v>216</v>
      </c>
      <c r="E1091" s="181">
        <v>0.5</v>
      </c>
    </row>
    <row r="1092" spans="2:5" ht="12.75" x14ac:dyDescent="0.2">
      <c r="B1092" s="179" t="s">
        <v>1375</v>
      </c>
      <c r="C1092" s="180" t="s">
        <v>1365</v>
      </c>
      <c r="D1092" s="179" t="s">
        <v>216</v>
      </c>
      <c r="E1092" s="181">
        <v>0.5</v>
      </c>
    </row>
    <row r="1093" spans="2:5" ht="12.75" x14ac:dyDescent="0.2">
      <c r="B1093" s="179" t="s">
        <v>1376</v>
      </c>
      <c r="C1093" s="180" t="s">
        <v>1365</v>
      </c>
      <c r="D1093" s="179" t="s">
        <v>216</v>
      </c>
      <c r="E1093" s="181">
        <v>0.5</v>
      </c>
    </row>
    <row r="1094" spans="2:5" ht="12.75" x14ac:dyDescent="0.2">
      <c r="B1094" s="179" t="s">
        <v>1377</v>
      </c>
      <c r="C1094" s="180" t="s">
        <v>1365</v>
      </c>
      <c r="D1094" s="179" t="s">
        <v>216</v>
      </c>
      <c r="E1094" s="181">
        <v>0.5</v>
      </c>
    </row>
    <row r="1095" spans="2:5" ht="12.75" x14ac:dyDescent="0.2">
      <c r="B1095" s="179" t="s">
        <v>1378</v>
      </c>
      <c r="C1095" s="180" t="s">
        <v>1365</v>
      </c>
      <c r="D1095" s="179" t="s">
        <v>216</v>
      </c>
      <c r="E1095" s="181">
        <v>0.5</v>
      </c>
    </row>
    <row r="1096" spans="2:5" ht="12.75" x14ac:dyDescent="0.2">
      <c r="B1096" s="179" t="s">
        <v>1379</v>
      </c>
      <c r="C1096" s="180" t="s">
        <v>1365</v>
      </c>
      <c r="D1096" s="179" t="s">
        <v>216</v>
      </c>
      <c r="E1096" s="181">
        <v>0.5</v>
      </c>
    </row>
    <row r="1097" spans="2:5" ht="12.75" x14ac:dyDescent="0.2">
      <c r="B1097" s="179" t="s">
        <v>1380</v>
      </c>
      <c r="C1097" s="180" t="s">
        <v>1365</v>
      </c>
      <c r="D1097" s="179" t="s">
        <v>216</v>
      </c>
      <c r="E1097" s="181">
        <v>0.5</v>
      </c>
    </row>
    <row r="1098" spans="2:5" ht="12.75" x14ac:dyDescent="0.2">
      <c r="B1098" s="179" t="s">
        <v>1381</v>
      </c>
      <c r="C1098" s="180" t="s">
        <v>1365</v>
      </c>
      <c r="D1098" s="179" t="s">
        <v>216</v>
      </c>
      <c r="E1098" s="181">
        <v>0.5</v>
      </c>
    </row>
    <row r="1099" spans="2:5" ht="12.75" x14ac:dyDescent="0.2">
      <c r="B1099" s="179" t="s">
        <v>1382</v>
      </c>
      <c r="C1099" s="180" t="s">
        <v>1365</v>
      </c>
      <c r="D1099" s="179" t="s">
        <v>216</v>
      </c>
      <c r="E1099" s="181">
        <v>0.5</v>
      </c>
    </row>
    <row r="1100" spans="2:5" ht="12.75" x14ac:dyDescent="0.2">
      <c r="B1100" s="179" t="s">
        <v>1383</v>
      </c>
      <c r="C1100" s="180" t="s">
        <v>1365</v>
      </c>
      <c r="D1100" s="179" t="s">
        <v>216</v>
      </c>
      <c r="E1100" s="181">
        <v>0.5</v>
      </c>
    </row>
    <row r="1101" spans="2:5" ht="12.75" x14ac:dyDescent="0.2">
      <c r="B1101" s="179" t="s">
        <v>1384</v>
      </c>
      <c r="C1101" s="180" t="s">
        <v>1365</v>
      </c>
      <c r="D1101" s="179" t="s">
        <v>216</v>
      </c>
      <c r="E1101" s="181">
        <v>0.5</v>
      </c>
    </row>
    <row r="1102" spans="2:5" ht="12.75" x14ac:dyDescent="0.2">
      <c r="B1102" s="179" t="s">
        <v>1385</v>
      </c>
      <c r="C1102" s="180" t="s">
        <v>1365</v>
      </c>
      <c r="D1102" s="179" t="s">
        <v>216</v>
      </c>
      <c r="E1102" s="181">
        <v>0.5</v>
      </c>
    </row>
    <row r="1103" spans="2:5" ht="12.75" x14ac:dyDescent="0.2">
      <c r="B1103" s="179" t="s">
        <v>1386</v>
      </c>
      <c r="C1103" s="180" t="s">
        <v>1365</v>
      </c>
      <c r="D1103" s="179" t="s">
        <v>216</v>
      </c>
      <c r="E1103" s="181">
        <v>0.5</v>
      </c>
    </row>
    <row r="1104" spans="2:5" ht="12.75" x14ac:dyDescent="0.2">
      <c r="B1104" s="179" t="s">
        <v>1387</v>
      </c>
      <c r="C1104" s="180" t="s">
        <v>1365</v>
      </c>
      <c r="D1104" s="179" t="s">
        <v>216</v>
      </c>
      <c r="E1104" s="181">
        <v>0.5</v>
      </c>
    </row>
    <row r="1105" spans="2:5" ht="12.75" x14ac:dyDescent="0.2">
      <c r="B1105" s="179" t="s">
        <v>1388</v>
      </c>
      <c r="C1105" s="180" t="s">
        <v>1365</v>
      </c>
      <c r="D1105" s="179" t="s">
        <v>216</v>
      </c>
      <c r="E1105" s="181">
        <v>0.5</v>
      </c>
    </row>
    <row r="1106" spans="2:5" ht="12.75" x14ac:dyDescent="0.2">
      <c r="B1106" s="179" t="s">
        <v>1389</v>
      </c>
      <c r="C1106" s="180" t="s">
        <v>1365</v>
      </c>
      <c r="D1106" s="179" t="s">
        <v>216</v>
      </c>
      <c r="E1106" s="181">
        <v>0.5</v>
      </c>
    </row>
    <row r="1107" spans="2:5" ht="12.75" x14ac:dyDescent="0.2">
      <c r="B1107" s="179" t="s">
        <v>1390</v>
      </c>
      <c r="C1107" s="180" t="s">
        <v>1365</v>
      </c>
      <c r="D1107" s="179" t="s">
        <v>216</v>
      </c>
      <c r="E1107" s="181">
        <v>0.5</v>
      </c>
    </row>
    <row r="1108" spans="2:5" ht="12.75" x14ac:dyDescent="0.2">
      <c r="B1108" s="179" t="s">
        <v>1391</v>
      </c>
      <c r="C1108" s="180" t="s">
        <v>1365</v>
      </c>
      <c r="D1108" s="179" t="s">
        <v>216</v>
      </c>
      <c r="E1108" s="181">
        <v>0.5</v>
      </c>
    </row>
    <row r="1109" spans="2:5" ht="12.75" x14ac:dyDescent="0.2">
      <c r="B1109" s="179" t="s">
        <v>1392</v>
      </c>
      <c r="C1109" s="180" t="s">
        <v>1365</v>
      </c>
      <c r="D1109" s="179" t="s">
        <v>216</v>
      </c>
      <c r="E1109" s="181">
        <v>0.5</v>
      </c>
    </row>
    <row r="1110" spans="2:5" ht="12.75" x14ac:dyDescent="0.2">
      <c r="B1110" s="179" t="s">
        <v>1393</v>
      </c>
      <c r="C1110" s="180" t="s">
        <v>1365</v>
      </c>
      <c r="D1110" s="179" t="s">
        <v>216</v>
      </c>
      <c r="E1110" s="181">
        <v>0.5</v>
      </c>
    </row>
    <row r="1111" spans="2:5" ht="12.75" x14ac:dyDescent="0.2">
      <c r="B1111" s="179" t="s">
        <v>1394</v>
      </c>
      <c r="C1111" s="180" t="s">
        <v>1365</v>
      </c>
      <c r="D1111" s="179" t="s">
        <v>216</v>
      </c>
      <c r="E1111" s="181">
        <v>0.5</v>
      </c>
    </row>
    <row r="1112" spans="2:5" ht="12.75" x14ac:dyDescent="0.2">
      <c r="B1112" s="179" t="s">
        <v>1395</v>
      </c>
      <c r="C1112" s="180" t="s">
        <v>1365</v>
      </c>
      <c r="D1112" s="179" t="s">
        <v>216</v>
      </c>
      <c r="E1112" s="181">
        <v>0.5</v>
      </c>
    </row>
    <row r="1113" spans="2:5" ht="12.75" x14ac:dyDescent="0.2">
      <c r="B1113" s="179" t="s">
        <v>1396</v>
      </c>
      <c r="C1113" s="180" t="s">
        <v>1365</v>
      </c>
      <c r="D1113" s="179" t="s">
        <v>216</v>
      </c>
      <c r="E1113" s="181">
        <v>0.5</v>
      </c>
    </row>
    <row r="1114" spans="2:5" ht="12.75" x14ac:dyDescent="0.2">
      <c r="B1114" s="179" t="s">
        <v>1397</v>
      </c>
      <c r="C1114" s="180" t="s">
        <v>1365</v>
      </c>
      <c r="D1114" s="179" t="s">
        <v>216</v>
      </c>
      <c r="E1114" s="181">
        <v>0.5</v>
      </c>
    </row>
    <row r="1115" spans="2:5" ht="12.75" x14ac:dyDescent="0.2">
      <c r="B1115" s="179" t="s">
        <v>1398</v>
      </c>
      <c r="C1115" s="180" t="s">
        <v>1365</v>
      </c>
      <c r="D1115" s="179" t="s">
        <v>216</v>
      </c>
      <c r="E1115" s="181">
        <v>0.5</v>
      </c>
    </row>
    <row r="1116" spans="2:5" ht="12.75" x14ac:dyDescent="0.2">
      <c r="B1116" s="179" t="s">
        <v>1399</v>
      </c>
      <c r="C1116" s="180" t="s">
        <v>1365</v>
      </c>
      <c r="D1116" s="179" t="s">
        <v>216</v>
      </c>
      <c r="E1116" s="181">
        <v>0.5</v>
      </c>
    </row>
    <row r="1117" spans="2:5" ht="12.75" x14ac:dyDescent="0.2">
      <c r="B1117" s="179" t="s">
        <v>1400</v>
      </c>
      <c r="C1117" s="180" t="s">
        <v>1365</v>
      </c>
      <c r="D1117" s="179" t="s">
        <v>216</v>
      </c>
      <c r="E1117" s="181">
        <v>0.5</v>
      </c>
    </row>
    <row r="1118" spans="2:5" ht="12.75" x14ac:dyDescent="0.2">
      <c r="B1118" s="179" t="s">
        <v>1401</v>
      </c>
      <c r="C1118" s="180" t="s">
        <v>1365</v>
      </c>
      <c r="D1118" s="179" t="s">
        <v>216</v>
      </c>
      <c r="E1118" s="181">
        <v>0.5</v>
      </c>
    </row>
    <row r="1119" spans="2:5" ht="12.75" x14ac:dyDescent="0.2">
      <c r="B1119" s="179" t="s">
        <v>1402</v>
      </c>
      <c r="C1119" s="180" t="s">
        <v>1365</v>
      </c>
      <c r="D1119" s="179" t="s">
        <v>216</v>
      </c>
      <c r="E1119" s="181">
        <v>0.5</v>
      </c>
    </row>
    <row r="1120" spans="2:5" ht="12.75" x14ac:dyDescent="0.2">
      <c r="B1120" s="179" t="s">
        <v>1403</v>
      </c>
      <c r="C1120" s="180" t="s">
        <v>1365</v>
      </c>
      <c r="D1120" s="179" t="s">
        <v>216</v>
      </c>
      <c r="E1120" s="181">
        <v>0.5</v>
      </c>
    </row>
    <row r="1121" spans="2:5" ht="12.75" x14ac:dyDescent="0.2">
      <c r="B1121" s="179" t="s">
        <v>1404</v>
      </c>
      <c r="C1121" s="180" t="s">
        <v>1365</v>
      </c>
      <c r="D1121" s="179" t="s">
        <v>216</v>
      </c>
      <c r="E1121" s="181">
        <v>0.5</v>
      </c>
    </row>
    <row r="1122" spans="2:5" ht="12.75" x14ac:dyDescent="0.2">
      <c r="B1122" s="179" t="s">
        <v>1405</v>
      </c>
      <c r="C1122" s="180" t="s">
        <v>1365</v>
      </c>
      <c r="D1122" s="179" t="s">
        <v>216</v>
      </c>
      <c r="E1122" s="181">
        <v>0.5</v>
      </c>
    </row>
    <row r="1123" spans="2:5" ht="12.75" x14ac:dyDescent="0.2">
      <c r="B1123" s="179" t="s">
        <v>1406</v>
      </c>
      <c r="C1123" s="180" t="s">
        <v>1365</v>
      </c>
      <c r="D1123" s="179" t="s">
        <v>216</v>
      </c>
      <c r="E1123" s="181">
        <v>0.5</v>
      </c>
    </row>
    <row r="1124" spans="2:5" ht="12.75" x14ac:dyDescent="0.2">
      <c r="B1124" s="179" t="s">
        <v>1407</v>
      </c>
      <c r="C1124" s="180" t="s">
        <v>1365</v>
      </c>
      <c r="D1124" s="179" t="s">
        <v>216</v>
      </c>
      <c r="E1124" s="181">
        <v>0.5</v>
      </c>
    </row>
    <row r="1125" spans="2:5" ht="12.75" x14ac:dyDescent="0.2">
      <c r="B1125" s="179" t="s">
        <v>1408</v>
      </c>
      <c r="C1125" s="180" t="s">
        <v>1365</v>
      </c>
      <c r="D1125" s="179" t="s">
        <v>216</v>
      </c>
      <c r="E1125" s="181">
        <v>0.5</v>
      </c>
    </row>
    <row r="1126" spans="2:5" ht="12.75" x14ac:dyDescent="0.2">
      <c r="B1126" s="179" t="s">
        <v>1409</v>
      </c>
      <c r="C1126" s="180" t="s">
        <v>1365</v>
      </c>
      <c r="D1126" s="179" t="s">
        <v>216</v>
      </c>
      <c r="E1126" s="181">
        <v>0.5</v>
      </c>
    </row>
    <row r="1127" spans="2:5" ht="12.75" x14ac:dyDescent="0.2">
      <c r="B1127" s="179" t="s">
        <v>1410</v>
      </c>
      <c r="C1127" s="180" t="s">
        <v>1365</v>
      </c>
      <c r="D1127" s="179" t="s">
        <v>216</v>
      </c>
      <c r="E1127" s="181">
        <v>0.5</v>
      </c>
    </row>
    <row r="1128" spans="2:5" ht="12.75" x14ac:dyDescent="0.2">
      <c r="B1128" s="179" t="s">
        <v>1411</v>
      </c>
      <c r="C1128" s="180" t="s">
        <v>1365</v>
      </c>
      <c r="D1128" s="179" t="s">
        <v>216</v>
      </c>
      <c r="E1128" s="181">
        <v>0.5</v>
      </c>
    </row>
    <row r="1129" spans="2:5" ht="12.75" x14ac:dyDescent="0.2">
      <c r="B1129" s="179" t="s">
        <v>1412</v>
      </c>
      <c r="C1129" s="180" t="s">
        <v>1365</v>
      </c>
      <c r="D1129" s="179" t="s">
        <v>216</v>
      </c>
      <c r="E1129" s="181">
        <v>0.5</v>
      </c>
    </row>
    <row r="1130" spans="2:5" ht="12.75" x14ac:dyDescent="0.2">
      <c r="B1130" s="179" t="s">
        <v>1413</v>
      </c>
      <c r="C1130" s="180" t="s">
        <v>1365</v>
      </c>
      <c r="D1130" s="179" t="s">
        <v>216</v>
      </c>
      <c r="E1130" s="181">
        <v>0.5</v>
      </c>
    </row>
    <row r="1131" spans="2:5" ht="12.75" x14ac:dyDescent="0.2">
      <c r="B1131" s="179" t="s">
        <v>1414</v>
      </c>
      <c r="C1131" s="180" t="s">
        <v>1365</v>
      </c>
      <c r="D1131" s="179" t="s">
        <v>216</v>
      </c>
      <c r="E1131" s="181">
        <v>0.5</v>
      </c>
    </row>
    <row r="1132" spans="2:5" ht="12.75" x14ac:dyDescent="0.2">
      <c r="B1132" s="179" t="s">
        <v>1415</v>
      </c>
      <c r="C1132" s="180" t="s">
        <v>1365</v>
      </c>
      <c r="D1132" s="179" t="s">
        <v>216</v>
      </c>
      <c r="E1132" s="181">
        <v>0.5</v>
      </c>
    </row>
    <row r="1133" spans="2:5" ht="12.75" x14ac:dyDescent="0.2">
      <c r="B1133" s="179" t="s">
        <v>1416</v>
      </c>
      <c r="C1133" s="180" t="s">
        <v>1365</v>
      </c>
      <c r="D1133" s="179" t="s">
        <v>216</v>
      </c>
      <c r="E1133" s="181">
        <v>0.5</v>
      </c>
    </row>
    <row r="1134" spans="2:5" ht="12.75" x14ac:dyDescent="0.2">
      <c r="B1134" s="179" t="s">
        <v>1417</v>
      </c>
      <c r="C1134" s="180" t="s">
        <v>1365</v>
      </c>
      <c r="D1134" s="179" t="s">
        <v>216</v>
      </c>
      <c r="E1134" s="181">
        <v>0.5</v>
      </c>
    </row>
    <row r="1135" spans="2:5" ht="12.75" x14ac:dyDescent="0.2">
      <c r="B1135" s="179" t="s">
        <v>1418</v>
      </c>
      <c r="C1135" s="180" t="s">
        <v>1365</v>
      </c>
      <c r="D1135" s="179" t="s">
        <v>216</v>
      </c>
      <c r="E1135" s="181">
        <v>0.5</v>
      </c>
    </row>
    <row r="1136" spans="2:5" ht="12.75" x14ac:dyDescent="0.2">
      <c r="B1136" s="179" t="s">
        <v>1419</v>
      </c>
      <c r="C1136" s="180" t="s">
        <v>1365</v>
      </c>
      <c r="D1136" s="179" t="s">
        <v>216</v>
      </c>
      <c r="E1136" s="181">
        <v>0.5</v>
      </c>
    </row>
    <row r="1137" spans="2:5" ht="12.75" x14ac:dyDescent="0.2">
      <c r="B1137" s="179" t="s">
        <v>1420</v>
      </c>
      <c r="C1137" s="180" t="s">
        <v>1365</v>
      </c>
      <c r="D1137" s="179" t="s">
        <v>216</v>
      </c>
      <c r="E1137" s="181">
        <v>0.5</v>
      </c>
    </row>
    <row r="1138" spans="2:5" ht="12.75" x14ac:dyDescent="0.2">
      <c r="B1138" s="179" t="s">
        <v>1421</v>
      </c>
      <c r="C1138" s="180" t="s">
        <v>1365</v>
      </c>
      <c r="D1138" s="179" t="s">
        <v>216</v>
      </c>
      <c r="E1138" s="181">
        <v>0.5</v>
      </c>
    </row>
    <row r="1139" spans="2:5" ht="12.75" x14ac:dyDescent="0.2">
      <c r="B1139" s="179" t="s">
        <v>1422</v>
      </c>
      <c r="C1139" s="180" t="s">
        <v>1365</v>
      </c>
      <c r="D1139" s="179" t="s">
        <v>216</v>
      </c>
      <c r="E1139" s="181">
        <v>0.5</v>
      </c>
    </row>
    <row r="1140" spans="2:5" ht="12.75" x14ac:dyDescent="0.2">
      <c r="B1140" s="179" t="s">
        <v>1423</v>
      </c>
      <c r="C1140" s="180" t="s">
        <v>1365</v>
      </c>
      <c r="D1140" s="179" t="s">
        <v>216</v>
      </c>
      <c r="E1140" s="181">
        <v>0.5</v>
      </c>
    </row>
    <row r="1141" spans="2:5" ht="12.75" x14ac:dyDescent="0.2">
      <c r="B1141" s="179" t="s">
        <v>1424</v>
      </c>
      <c r="C1141" s="180" t="s">
        <v>1365</v>
      </c>
      <c r="D1141" s="179" t="s">
        <v>216</v>
      </c>
      <c r="E1141" s="181">
        <v>0.5</v>
      </c>
    </row>
    <row r="1142" spans="2:5" ht="12.75" x14ac:dyDescent="0.2">
      <c r="B1142" s="179" t="s">
        <v>1425</v>
      </c>
      <c r="C1142" s="180" t="s">
        <v>1365</v>
      </c>
      <c r="D1142" s="179" t="s">
        <v>216</v>
      </c>
      <c r="E1142" s="181">
        <v>0.5</v>
      </c>
    </row>
    <row r="1143" spans="2:5" ht="12.75" x14ac:dyDescent="0.2">
      <c r="B1143" s="179" t="s">
        <v>1426</v>
      </c>
      <c r="C1143" s="180" t="s">
        <v>1365</v>
      </c>
      <c r="D1143" s="179" t="s">
        <v>216</v>
      </c>
      <c r="E1143" s="181">
        <v>0.5</v>
      </c>
    </row>
    <row r="1144" spans="2:5" ht="12.75" x14ac:dyDescent="0.2">
      <c r="B1144" s="179" t="s">
        <v>1427</v>
      </c>
      <c r="C1144" s="180" t="s">
        <v>1365</v>
      </c>
      <c r="D1144" s="179" t="s">
        <v>216</v>
      </c>
      <c r="E1144" s="181">
        <v>0.5</v>
      </c>
    </row>
    <row r="1145" spans="2:5" ht="12.75" x14ac:dyDescent="0.2">
      <c r="B1145" s="179" t="s">
        <v>1428</v>
      </c>
      <c r="C1145" s="180" t="s">
        <v>1365</v>
      </c>
      <c r="D1145" s="179" t="s">
        <v>216</v>
      </c>
      <c r="E1145" s="181">
        <v>0.5</v>
      </c>
    </row>
    <row r="1146" spans="2:5" ht="12.75" x14ac:dyDescent="0.2">
      <c r="B1146" s="179" t="s">
        <v>1429</v>
      </c>
      <c r="C1146" s="180" t="s">
        <v>1365</v>
      </c>
      <c r="D1146" s="179" t="s">
        <v>216</v>
      </c>
      <c r="E1146" s="181">
        <v>0.5</v>
      </c>
    </row>
    <row r="1147" spans="2:5" ht="12.75" x14ac:dyDescent="0.2">
      <c r="B1147" s="179" t="s">
        <v>1430</v>
      </c>
      <c r="C1147" s="180" t="s">
        <v>1365</v>
      </c>
      <c r="D1147" s="179" t="s">
        <v>216</v>
      </c>
      <c r="E1147" s="181">
        <v>0.5</v>
      </c>
    </row>
    <row r="1148" spans="2:5" ht="12.75" x14ac:dyDescent="0.2">
      <c r="B1148" s="179" t="s">
        <v>1431</v>
      </c>
      <c r="C1148" s="180" t="s">
        <v>1365</v>
      </c>
      <c r="D1148" s="179" t="s">
        <v>216</v>
      </c>
      <c r="E1148" s="181">
        <v>0.5</v>
      </c>
    </row>
    <row r="1149" spans="2:5" ht="12.75" x14ac:dyDescent="0.2">
      <c r="B1149" s="179" t="s">
        <v>1432</v>
      </c>
      <c r="C1149" s="180" t="s">
        <v>1365</v>
      </c>
      <c r="D1149" s="179" t="s">
        <v>216</v>
      </c>
      <c r="E1149" s="181">
        <v>0.5</v>
      </c>
    </row>
    <row r="1150" spans="2:5" ht="12.75" x14ac:dyDescent="0.2">
      <c r="B1150" s="179" t="s">
        <v>1433</v>
      </c>
      <c r="C1150" s="180" t="s">
        <v>1365</v>
      </c>
      <c r="D1150" s="179" t="s">
        <v>216</v>
      </c>
      <c r="E1150" s="181">
        <v>0.5</v>
      </c>
    </row>
    <row r="1151" spans="2:5" ht="12.75" x14ac:dyDescent="0.2">
      <c r="B1151" s="179" t="s">
        <v>1434</v>
      </c>
      <c r="C1151" s="180" t="s">
        <v>1365</v>
      </c>
      <c r="D1151" s="179" t="s">
        <v>216</v>
      </c>
      <c r="E1151" s="181">
        <v>0.5</v>
      </c>
    </row>
    <row r="1152" spans="2:5" ht="12.75" x14ac:dyDescent="0.2">
      <c r="B1152" s="179" t="s">
        <v>1435</v>
      </c>
      <c r="C1152" s="180" t="s">
        <v>1365</v>
      </c>
      <c r="D1152" s="179" t="s">
        <v>216</v>
      </c>
      <c r="E1152" s="181">
        <v>0.5</v>
      </c>
    </row>
    <row r="1153" spans="2:5" ht="12.75" x14ac:dyDescent="0.2">
      <c r="B1153" s="179" t="s">
        <v>1436</v>
      </c>
      <c r="C1153" s="180" t="s">
        <v>1365</v>
      </c>
      <c r="D1153" s="179" t="s">
        <v>216</v>
      </c>
      <c r="E1153" s="181">
        <v>0.5</v>
      </c>
    </row>
    <row r="1154" spans="2:5" ht="12.75" x14ac:dyDescent="0.2">
      <c r="B1154" s="179" t="s">
        <v>1437</v>
      </c>
      <c r="C1154" s="180" t="s">
        <v>1365</v>
      </c>
      <c r="D1154" s="179" t="s">
        <v>216</v>
      </c>
      <c r="E1154" s="181">
        <v>0.5</v>
      </c>
    </row>
    <row r="1155" spans="2:5" ht="12.75" x14ac:dyDescent="0.2">
      <c r="B1155" s="179" t="s">
        <v>1438</v>
      </c>
      <c r="C1155" s="180" t="s">
        <v>1365</v>
      </c>
      <c r="D1155" s="179" t="s">
        <v>216</v>
      </c>
      <c r="E1155" s="181">
        <v>0.5</v>
      </c>
    </row>
    <row r="1156" spans="2:5" ht="12.75" x14ac:dyDescent="0.2">
      <c r="B1156" s="179" t="s">
        <v>1439</v>
      </c>
      <c r="C1156" s="180" t="s">
        <v>1365</v>
      </c>
      <c r="D1156" s="179" t="s">
        <v>216</v>
      </c>
      <c r="E1156" s="181">
        <v>0.5</v>
      </c>
    </row>
    <row r="1157" spans="2:5" ht="12.75" x14ac:dyDescent="0.2">
      <c r="B1157" s="179" t="s">
        <v>1440</v>
      </c>
      <c r="C1157" s="180" t="s">
        <v>1365</v>
      </c>
      <c r="D1157" s="179" t="s">
        <v>216</v>
      </c>
      <c r="E1157" s="181">
        <v>0.5</v>
      </c>
    </row>
    <row r="1158" spans="2:5" ht="12.75" x14ac:dyDescent="0.2">
      <c r="B1158" s="179" t="s">
        <v>1441</v>
      </c>
      <c r="C1158" s="180" t="s">
        <v>1365</v>
      </c>
      <c r="D1158" s="179" t="s">
        <v>216</v>
      </c>
      <c r="E1158" s="181">
        <v>0.5</v>
      </c>
    </row>
    <row r="1159" spans="2:5" ht="12.75" x14ac:dyDescent="0.2">
      <c r="B1159" s="179" t="s">
        <v>1442</v>
      </c>
      <c r="C1159" s="180" t="s">
        <v>1365</v>
      </c>
      <c r="D1159" s="179" t="s">
        <v>216</v>
      </c>
      <c r="E1159" s="181">
        <v>0.5</v>
      </c>
    </row>
    <row r="1160" spans="2:5" ht="12.75" x14ac:dyDescent="0.2">
      <c r="B1160" s="179" t="s">
        <v>1443</v>
      </c>
      <c r="C1160" s="180" t="s">
        <v>1365</v>
      </c>
      <c r="D1160" s="179" t="s">
        <v>216</v>
      </c>
      <c r="E1160" s="181">
        <v>0.5</v>
      </c>
    </row>
    <row r="1161" spans="2:5" ht="12.75" x14ac:dyDescent="0.2">
      <c r="B1161" s="179" t="s">
        <v>1444</v>
      </c>
      <c r="C1161" s="180" t="s">
        <v>1365</v>
      </c>
      <c r="D1161" s="179" t="s">
        <v>216</v>
      </c>
      <c r="E1161" s="181">
        <v>0.5</v>
      </c>
    </row>
    <row r="1162" spans="2:5" ht="12.75" x14ac:dyDescent="0.2">
      <c r="B1162" s="179" t="s">
        <v>1445</v>
      </c>
      <c r="C1162" s="180" t="s">
        <v>1365</v>
      </c>
      <c r="D1162" s="179" t="s">
        <v>216</v>
      </c>
      <c r="E1162" s="181">
        <v>0.5</v>
      </c>
    </row>
    <row r="1163" spans="2:5" ht="12.75" x14ac:dyDescent="0.2">
      <c r="B1163" s="179" t="s">
        <v>1446</v>
      </c>
      <c r="C1163" s="180" t="s">
        <v>1365</v>
      </c>
      <c r="D1163" s="179" t="s">
        <v>216</v>
      </c>
      <c r="E1163" s="181">
        <v>0.5</v>
      </c>
    </row>
    <row r="1164" spans="2:5" ht="12.75" x14ac:dyDescent="0.2">
      <c r="B1164" s="179" t="s">
        <v>1447</v>
      </c>
      <c r="C1164" s="180" t="s">
        <v>1365</v>
      </c>
      <c r="D1164" s="179" t="s">
        <v>216</v>
      </c>
      <c r="E1164" s="181">
        <v>0.5</v>
      </c>
    </row>
    <row r="1165" spans="2:5" ht="12.75" x14ac:dyDescent="0.2">
      <c r="B1165" s="179" t="s">
        <v>1448</v>
      </c>
      <c r="C1165" s="180" t="s">
        <v>1365</v>
      </c>
      <c r="D1165" s="179" t="s">
        <v>216</v>
      </c>
      <c r="E1165" s="181">
        <v>0.5</v>
      </c>
    </row>
    <row r="1166" spans="2:5" ht="12.75" x14ac:dyDescent="0.2">
      <c r="B1166" s="179" t="s">
        <v>1449</v>
      </c>
      <c r="C1166" s="180" t="s">
        <v>1365</v>
      </c>
      <c r="D1166" s="179" t="s">
        <v>216</v>
      </c>
      <c r="E1166" s="181">
        <v>0.5</v>
      </c>
    </row>
    <row r="1167" spans="2:5" ht="12.75" x14ac:dyDescent="0.2">
      <c r="B1167" s="179" t="s">
        <v>1450</v>
      </c>
      <c r="C1167" s="180" t="s">
        <v>1365</v>
      </c>
      <c r="D1167" s="179" t="s">
        <v>216</v>
      </c>
      <c r="E1167" s="181">
        <v>0.5</v>
      </c>
    </row>
    <row r="1168" spans="2:5" ht="12.75" x14ac:dyDescent="0.2">
      <c r="B1168" s="179" t="s">
        <v>1451</v>
      </c>
      <c r="C1168" s="180" t="s">
        <v>1365</v>
      </c>
      <c r="D1168" s="179" t="s">
        <v>216</v>
      </c>
      <c r="E1168" s="181">
        <v>0.5</v>
      </c>
    </row>
    <row r="1169" spans="2:5" ht="12.75" x14ac:dyDescent="0.2">
      <c r="B1169" s="179" t="s">
        <v>1452</v>
      </c>
      <c r="C1169" s="180" t="s">
        <v>1365</v>
      </c>
      <c r="D1169" s="179" t="s">
        <v>216</v>
      </c>
      <c r="E1169" s="181">
        <v>0.5</v>
      </c>
    </row>
    <row r="1170" spans="2:5" ht="12.75" x14ac:dyDescent="0.2">
      <c r="B1170" s="179" t="s">
        <v>1453</v>
      </c>
      <c r="C1170" s="180" t="s">
        <v>1365</v>
      </c>
      <c r="D1170" s="179" t="s">
        <v>216</v>
      </c>
      <c r="E1170" s="181">
        <v>0.5</v>
      </c>
    </row>
    <row r="1171" spans="2:5" ht="12.75" x14ac:dyDescent="0.2">
      <c r="B1171" s="179" t="s">
        <v>1454</v>
      </c>
      <c r="C1171" s="180" t="s">
        <v>1365</v>
      </c>
      <c r="D1171" s="179" t="s">
        <v>216</v>
      </c>
      <c r="E1171" s="181">
        <v>0.5</v>
      </c>
    </row>
    <row r="1172" spans="2:5" ht="12.75" x14ac:dyDescent="0.2">
      <c r="B1172" s="179" t="s">
        <v>1455</v>
      </c>
      <c r="C1172" s="180" t="s">
        <v>1365</v>
      </c>
      <c r="D1172" s="179" t="s">
        <v>216</v>
      </c>
      <c r="E1172" s="181">
        <v>0.5</v>
      </c>
    </row>
    <row r="1173" spans="2:5" ht="12.75" x14ac:dyDescent="0.2">
      <c r="B1173" s="179" t="s">
        <v>1456</v>
      </c>
      <c r="C1173" s="180" t="s">
        <v>1365</v>
      </c>
      <c r="D1173" s="179" t="s">
        <v>216</v>
      </c>
      <c r="E1173" s="181">
        <v>0.5</v>
      </c>
    </row>
    <row r="1174" spans="2:5" ht="12.75" x14ac:dyDescent="0.2">
      <c r="B1174" s="179" t="s">
        <v>1457</v>
      </c>
      <c r="C1174" s="180" t="s">
        <v>1365</v>
      </c>
      <c r="D1174" s="179" t="s">
        <v>216</v>
      </c>
      <c r="E1174" s="181">
        <v>0.5</v>
      </c>
    </row>
    <row r="1175" spans="2:5" ht="12.75" x14ac:dyDescent="0.2">
      <c r="B1175" s="179" t="s">
        <v>1458</v>
      </c>
      <c r="C1175" s="180" t="s">
        <v>1365</v>
      </c>
      <c r="D1175" s="179" t="s">
        <v>216</v>
      </c>
      <c r="E1175" s="181">
        <v>0.5</v>
      </c>
    </row>
    <row r="1176" spans="2:5" ht="12.75" x14ac:dyDescent="0.2">
      <c r="B1176" s="179" t="s">
        <v>1459</v>
      </c>
      <c r="C1176" s="180" t="s">
        <v>1365</v>
      </c>
      <c r="D1176" s="179" t="s">
        <v>216</v>
      </c>
      <c r="E1176" s="181">
        <v>0.5</v>
      </c>
    </row>
    <row r="1177" spans="2:5" ht="12.75" x14ac:dyDescent="0.2">
      <c r="B1177" s="179" t="s">
        <v>1460</v>
      </c>
      <c r="C1177" s="180" t="s">
        <v>1365</v>
      </c>
      <c r="D1177" s="179" t="s">
        <v>216</v>
      </c>
      <c r="E1177" s="181">
        <v>0.5</v>
      </c>
    </row>
    <row r="1178" spans="2:5" ht="12.75" x14ac:dyDescent="0.2">
      <c r="B1178" s="179" t="s">
        <v>1461</v>
      </c>
      <c r="C1178" s="180" t="s">
        <v>1365</v>
      </c>
      <c r="D1178" s="179" t="s">
        <v>216</v>
      </c>
      <c r="E1178" s="181">
        <v>0.5</v>
      </c>
    </row>
    <row r="1179" spans="2:5" ht="12.75" x14ac:dyDescent="0.2">
      <c r="B1179" s="179" t="s">
        <v>1462</v>
      </c>
      <c r="C1179" s="180" t="s">
        <v>1365</v>
      </c>
      <c r="D1179" s="179" t="s">
        <v>216</v>
      </c>
      <c r="E1179" s="181">
        <v>0.5</v>
      </c>
    </row>
    <row r="1180" spans="2:5" ht="12.75" x14ac:dyDescent="0.2">
      <c r="B1180" s="179" t="s">
        <v>1463</v>
      </c>
      <c r="C1180" s="180" t="s">
        <v>1365</v>
      </c>
      <c r="D1180" s="179" t="s">
        <v>216</v>
      </c>
      <c r="E1180" s="181">
        <v>0.5</v>
      </c>
    </row>
    <row r="1181" spans="2:5" ht="12.75" x14ac:dyDescent="0.2">
      <c r="B1181" s="179" t="s">
        <v>1464</v>
      </c>
      <c r="C1181" s="180" t="s">
        <v>1365</v>
      </c>
      <c r="D1181" s="179" t="s">
        <v>216</v>
      </c>
      <c r="E1181" s="181">
        <v>0.5</v>
      </c>
    </row>
    <row r="1182" spans="2:5" ht="12.75" x14ac:dyDescent="0.2">
      <c r="B1182" s="179" t="s">
        <v>1465</v>
      </c>
      <c r="C1182" s="180" t="s">
        <v>1365</v>
      </c>
      <c r="D1182" s="179" t="s">
        <v>216</v>
      </c>
      <c r="E1182" s="181">
        <v>0.5</v>
      </c>
    </row>
    <row r="1183" spans="2:5" ht="12.75" x14ac:dyDescent="0.2">
      <c r="B1183" s="179" t="s">
        <v>1466</v>
      </c>
      <c r="C1183" s="180" t="s">
        <v>1365</v>
      </c>
      <c r="D1183" s="179" t="s">
        <v>216</v>
      </c>
      <c r="E1183" s="181">
        <v>0.5</v>
      </c>
    </row>
    <row r="1184" spans="2:5" ht="12.75" x14ac:dyDescent="0.2">
      <c r="B1184" s="179" t="s">
        <v>1467</v>
      </c>
      <c r="C1184" s="180" t="s">
        <v>1365</v>
      </c>
      <c r="D1184" s="179" t="s">
        <v>216</v>
      </c>
      <c r="E1184" s="181">
        <v>0.5</v>
      </c>
    </row>
    <row r="1185" spans="2:5" ht="12.75" x14ac:dyDescent="0.2">
      <c r="B1185" s="179" t="s">
        <v>1468</v>
      </c>
      <c r="C1185" s="180" t="s">
        <v>1365</v>
      </c>
      <c r="D1185" s="179" t="s">
        <v>216</v>
      </c>
      <c r="E1185" s="181">
        <v>0.5</v>
      </c>
    </row>
    <row r="1186" spans="2:5" ht="12.75" x14ac:dyDescent="0.2">
      <c r="B1186" s="179" t="s">
        <v>1469</v>
      </c>
      <c r="C1186" s="180" t="s">
        <v>1365</v>
      </c>
      <c r="D1186" s="179" t="s">
        <v>216</v>
      </c>
      <c r="E1186" s="181">
        <v>0.5</v>
      </c>
    </row>
    <row r="1187" spans="2:5" ht="12.75" x14ac:dyDescent="0.2">
      <c r="B1187" s="179" t="s">
        <v>1470</v>
      </c>
      <c r="C1187" s="180" t="s">
        <v>1365</v>
      </c>
      <c r="D1187" s="179" t="s">
        <v>216</v>
      </c>
      <c r="E1187" s="181">
        <v>0.5</v>
      </c>
    </row>
    <row r="1188" spans="2:5" ht="12.75" x14ac:dyDescent="0.2">
      <c r="B1188" s="179" t="s">
        <v>1471</v>
      </c>
      <c r="C1188" s="180" t="s">
        <v>1365</v>
      </c>
      <c r="D1188" s="179" t="s">
        <v>216</v>
      </c>
      <c r="E1188" s="181">
        <v>0.5</v>
      </c>
    </row>
    <row r="1189" spans="2:5" ht="12.75" x14ac:dyDescent="0.2">
      <c r="B1189" s="179" t="s">
        <v>1472</v>
      </c>
      <c r="C1189" s="180" t="s">
        <v>1365</v>
      </c>
      <c r="D1189" s="179" t="s">
        <v>216</v>
      </c>
      <c r="E1189" s="181">
        <v>0.5</v>
      </c>
    </row>
    <row r="1190" spans="2:5" ht="12.75" x14ac:dyDescent="0.2">
      <c r="B1190" s="179" t="s">
        <v>1473</v>
      </c>
      <c r="C1190" s="180" t="s">
        <v>1365</v>
      </c>
      <c r="D1190" s="179" t="s">
        <v>216</v>
      </c>
      <c r="E1190" s="181">
        <v>0.5</v>
      </c>
    </row>
    <row r="1191" spans="2:5" ht="12.75" x14ac:dyDescent="0.2">
      <c r="B1191" s="179" t="s">
        <v>1474</v>
      </c>
      <c r="C1191" s="180" t="s">
        <v>1365</v>
      </c>
      <c r="D1191" s="179" t="s">
        <v>216</v>
      </c>
      <c r="E1191" s="181">
        <v>0.5</v>
      </c>
    </row>
    <row r="1192" spans="2:5" ht="12.75" x14ac:dyDescent="0.2">
      <c r="B1192" s="179" t="s">
        <v>1475</v>
      </c>
      <c r="C1192" s="180" t="s">
        <v>1365</v>
      </c>
      <c r="D1192" s="179" t="s">
        <v>216</v>
      </c>
      <c r="E1192" s="181">
        <v>0.5</v>
      </c>
    </row>
    <row r="1193" spans="2:5" ht="12.75" x14ac:dyDescent="0.2">
      <c r="B1193" s="179" t="s">
        <v>1476</v>
      </c>
      <c r="C1193" s="180" t="s">
        <v>1365</v>
      </c>
      <c r="D1193" s="179" t="s">
        <v>216</v>
      </c>
      <c r="E1193" s="181">
        <v>0.5</v>
      </c>
    </row>
    <row r="1194" spans="2:5" ht="12.75" x14ac:dyDescent="0.2">
      <c r="B1194" s="179" t="s">
        <v>1477</v>
      </c>
      <c r="C1194" s="180" t="s">
        <v>1365</v>
      </c>
      <c r="D1194" s="179" t="s">
        <v>216</v>
      </c>
      <c r="E1194" s="181">
        <v>0.5</v>
      </c>
    </row>
    <row r="1195" spans="2:5" ht="12.75" x14ac:dyDescent="0.2">
      <c r="B1195" s="179" t="s">
        <v>1478</v>
      </c>
      <c r="C1195" s="180" t="s">
        <v>1365</v>
      </c>
      <c r="D1195" s="179" t="s">
        <v>216</v>
      </c>
      <c r="E1195" s="181">
        <v>0.5</v>
      </c>
    </row>
    <row r="1196" spans="2:5" ht="12.75" x14ac:dyDescent="0.2">
      <c r="B1196" s="179" t="s">
        <v>1479</v>
      </c>
      <c r="C1196" s="180" t="s">
        <v>1365</v>
      </c>
      <c r="D1196" s="179" t="s">
        <v>216</v>
      </c>
      <c r="E1196" s="181">
        <v>0.5</v>
      </c>
    </row>
    <row r="1197" spans="2:5" ht="12.75" x14ac:dyDescent="0.2">
      <c r="B1197" s="179" t="s">
        <v>1480</v>
      </c>
      <c r="C1197" s="180" t="s">
        <v>1365</v>
      </c>
      <c r="D1197" s="179" t="s">
        <v>216</v>
      </c>
      <c r="E1197" s="181">
        <v>0.5</v>
      </c>
    </row>
    <row r="1198" spans="2:5" ht="12.75" x14ac:dyDescent="0.2">
      <c r="B1198" s="179" t="s">
        <v>1481</v>
      </c>
      <c r="C1198" s="180" t="s">
        <v>1365</v>
      </c>
      <c r="D1198" s="179" t="s">
        <v>216</v>
      </c>
      <c r="E1198" s="181">
        <v>0.5</v>
      </c>
    </row>
    <row r="1199" spans="2:5" ht="12.75" x14ac:dyDescent="0.2">
      <c r="B1199" s="179" t="s">
        <v>1482</v>
      </c>
      <c r="C1199" s="180" t="s">
        <v>1365</v>
      </c>
      <c r="D1199" s="179" t="s">
        <v>216</v>
      </c>
      <c r="E1199" s="181">
        <v>0.5</v>
      </c>
    </row>
    <row r="1200" spans="2:5" ht="12.75" x14ac:dyDescent="0.2">
      <c r="B1200" s="179" t="s">
        <v>1483</v>
      </c>
      <c r="C1200" s="180" t="s">
        <v>1365</v>
      </c>
      <c r="D1200" s="179" t="s">
        <v>216</v>
      </c>
      <c r="E1200" s="181">
        <v>0.5</v>
      </c>
    </row>
    <row r="1201" spans="2:5" ht="12.75" x14ac:dyDescent="0.2">
      <c r="B1201" s="179" t="s">
        <v>1484</v>
      </c>
      <c r="C1201" s="180" t="s">
        <v>1365</v>
      </c>
      <c r="D1201" s="179" t="s">
        <v>216</v>
      </c>
      <c r="E1201" s="181">
        <v>0.5</v>
      </c>
    </row>
    <row r="1202" spans="2:5" ht="12.75" x14ac:dyDescent="0.2">
      <c r="B1202" s="179" t="s">
        <v>1485</v>
      </c>
      <c r="C1202" s="180" t="s">
        <v>1365</v>
      </c>
      <c r="D1202" s="179" t="s">
        <v>216</v>
      </c>
      <c r="E1202" s="181">
        <v>0.5</v>
      </c>
    </row>
    <row r="1203" spans="2:5" ht="12.75" x14ac:dyDescent="0.2">
      <c r="B1203" s="179" t="s">
        <v>1486</v>
      </c>
      <c r="C1203" s="180" t="s">
        <v>1365</v>
      </c>
      <c r="D1203" s="179" t="s">
        <v>216</v>
      </c>
      <c r="E1203" s="181">
        <v>0.5</v>
      </c>
    </row>
    <row r="1204" spans="2:5" ht="12.75" x14ac:dyDescent="0.2">
      <c r="B1204" s="179" t="s">
        <v>1487</v>
      </c>
      <c r="C1204" s="180" t="s">
        <v>1365</v>
      </c>
      <c r="D1204" s="179" t="s">
        <v>216</v>
      </c>
      <c r="E1204" s="181">
        <v>0.5</v>
      </c>
    </row>
    <row r="1205" spans="2:5" ht="12.75" x14ac:dyDescent="0.2">
      <c r="B1205" s="179" t="s">
        <v>1488</v>
      </c>
      <c r="C1205" s="180" t="s">
        <v>1365</v>
      </c>
      <c r="D1205" s="179" t="s">
        <v>216</v>
      </c>
      <c r="E1205" s="181">
        <v>0.5</v>
      </c>
    </row>
    <row r="1206" spans="2:5" ht="12.75" x14ac:dyDescent="0.2">
      <c r="B1206" s="179" t="s">
        <v>1489</v>
      </c>
      <c r="C1206" s="180" t="s">
        <v>1365</v>
      </c>
      <c r="D1206" s="179" t="s">
        <v>216</v>
      </c>
      <c r="E1206" s="181">
        <v>0.5</v>
      </c>
    </row>
    <row r="1207" spans="2:5" ht="12.75" x14ac:dyDescent="0.2">
      <c r="B1207" s="179" t="s">
        <v>1490</v>
      </c>
      <c r="C1207" s="180" t="s">
        <v>1365</v>
      </c>
      <c r="D1207" s="179" t="s">
        <v>216</v>
      </c>
      <c r="E1207" s="181">
        <v>0.5</v>
      </c>
    </row>
    <row r="1208" spans="2:5" ht="12.75" x14ac:dyDescent="0.2">
      <c r="B1208" s="179" t="s">
        <v>1491</v>
      </c>
      <c r="C1208" s="180" t="s">
        <v>1365</v>
      </c>
      <c r="D1208" s="179" t="s">
        <v>216</v>
      </c>
      <c r="E1208" s="181">
        <v>0.5</v>
      </c>
    </row>
    <row r="1209" spans="2:5" ht="12.75" x14ac:dyDescent="0.2">
      <c r="B1209" s="179" t="s">
        <v>1492</v>
      </c>
      <c r="C1209" s="180" t="s">
        <v>1365</v>
      </c>
      <c r="D1209" s="179" t="s">
        <v>216</v>
      </c>
      <c r="E1209" s="181">
        <v>0.5</v>
      </c>
    </row>
    <row r="1210" spans="2:5" ht="12.75" x14ac:dyDescent="0.2">
      <c r="B1210" s="179" t="s">
        <v>1493</v>
      </c>
      <c r="C1210" s="180" t="s">
        <v>1365</v>
      </c>
      <c r="D1210" s="179" t="s">
        <v>216</v>
      </c>
      <c r="E1210" s="181">
        <v>0.5</v>
      </c>
    </row>
    <row r="1211" spans="2:5" ht="12.75" x14ac:dyDescent="0.2">
      <c r="B1211" s="179" t="s">
        <v>1494</v>
      </c>
      <c r="C1211" s="180" t="s">
        <v>1365</v>
      </c>
      <c r="D1211" s="179" t="s">
        <v>216</v>
      </c>
      <c r="E1211" s="181">
        <v>0.5</v>
      </c>
    </row>
    <row r="1212" spans="2:5" ht="12.75" x14ac:dyDescent="0.2">
      <c r="B1212" s="179" t="s">
        <v>1495</v>
      </c>
      <c r="C1212" s="180" t="s">
        <v>1365</v>
      </c>
      <c r="D1212" s="179" t="s">
        <v>216</v>
      </c>
      <c r="E1212" s="181">
        <v>0.5</v>
      </c>
    </row>
    <row r="1213" spans="2:5" ht="12.75" x14ac:dyDescent="0.2">
      <c r="B1213" s="179" t="s">
        <v>1496</v>
      </c>
      <c r="C1213" s="180" t="s">
        <v>1365</v>
      </c>
      <c r="D1213" s="179" t="s">
        <v>216</v>
      </c>
      <c r="E1213" s="181">
        <v>0.5</v>
      </c>
    </row>
    <row r="1214" spans="2:5" ht="12.75" x14ac:dyDescent="0.2">
      <c r="B1214" s="179" t="s">
        <v>1497</v>
      </c>
      <c r="C1214" s="180" t="s">
        <v>1365</v>
      </c>
      <c r="D1214" s="179" t="s">
        <v>216</v>
      </c>
      <c r="E1214" s="181">
        <v>0.5</v>
      </c>
    </row>
    <row r="1215" spans="2:5" ht="12.75" x14ac:dyDescent="0.2">
      <c r="B1215" s="179" t="s">
        <v>1498</v>
      </c>
      <c r="C1215" s="180" t="s">
        <v>1365</v>
      </c>
      <c r="D1215" s="179" t="s">
        <v>216</v>
      </c>
      <c r="E1215" s="181">
        <v>0.5</v>
      </c>
    </row>
    <row r="1216" spans="2:5" ht="12.75" x14ac:dyDescent="0.2">
      <c r="B1216" s="179" t="s">
        <v>1499</v>
      </c>
      <c r="C1216" s="180" t="s">
        <v>1365</v>
      </c>
      <c r="D1216" s="179" t="s">
        <v>216</v>
      </c>
      <c r="E1216" s="181">
        <v>0.5</v>
      </c>
    </row>
    <row r="1217" spans="2:5" ht="12.75" x14ac:dyDescent="0.2">
      <c r="B1217" s="179" t="s">
        <v>1500</v>
      </c>
      <c r="C1217" s="180" t="s">
        <v>1365</v>
      </c>
      <c r="D1217" s="179" t="s">
        <v>216</v>
      </c>
      <c r="E1217" s="181">
        <v>0.5</v>
      </c>
    </row>
    <row r="1218" spans="2:5" ht="12.75" x14ac:dyDescent="0.2">
      <c r="B1218" s="179" t="s">
        <v>1501</v>
      </c>
      <c r="C1218" s="180" t="s">
        <v>1365</v>
      </c>
      <c r="D1218" s="179" t="s">
        <v>216</v>
      </c>
      <c r="E1218" s="181">
        <v>0.5</v>
      </c>
    </row>
    <row r="1219" spans="2:5" ht="12.75" x14ac:dyDescent="0.2">
      <c r="B1219" s="179" t="s">
        <v>1502</v>
      </c>
      <c r="C1219" s="180" t="s">
        <v>1365</v>
      </c>
      <c r="D1219" s="179" t="s">
        <v>216</v>
      </c>
      <c r="E1219" s="181">
        <v>0.5</v>
      </c>
    </row>
    <row r="1220" spans="2:5" ht="12.75" x14ac:dyDescent="0.2">
      <c r="B1220" s="179" t="s">
        <v>1503</v>
      </c>
      <c r="C1220" s="180" t="s">
        <v>1365</v>
      </c>
      <c r="D1220" s="179" t="s">
        <v>216</v>
      </c>
      <c r="E1220" s="181">
        <v>0.5</v>
      </c>
    </row>
    <row r="1221" spans="2:5" ht="12.75" x14ac:dyDescent="0.2">
      <c r="B1221" s="179" t="s">
        <v>1504</v>
      </c>
      <c r="C1221" s="180" t="s">
        <v>1365</v>
      </c>
      <c r="D1221" s="179" t="s">
        <v>216</v>
      </c>
      <c r="E1221" s="181">
        <v>0.5</v>
      </c>
    </row>
    <row r="1222" spans="2:5" ht="12.75" x14ac:dyDescent="0.2">
      <c r="B1222" s="179" t="s">
        <v>1505</v>
      </c>
      <c r="C1222" s="180" t="s">
        <v>1365</v>
      </c>
      <c r="D1222" s="179" t="s">
        <v>216</v>
      </c>
      <c r="E1222" s="181">
        <v>0.5</v>
      </c>
    </row>
    <row r="1223" spans="2:5" ht="12.75" x14ac:dyDescent="0.2">
      <c r="B1223" s="179" t="s">
        <v>1506</v>
      </c>
      <c r="C1223" s="180" t="s">
        <v>1365</v>
      </c>
      <c r="D1223" s="179" t="s">
        <v>216</v>
      </c>
      <c r="E1223" s="181">
        <v>0.5</v>
      </c>
    </row>
    <row r="1224" spans="2:5" ht="12.75" x14ac:dyDescent="0.2">
      <c r="B1224" s="179" t="s">
        <v>1507</v>
      </c>
      <c r="C1224" s="180" t="s">
        <v>1365</v>
      </c>
      <c r="D1224" s="179" t="s">
        <v>216</v>
      </c>
      <c r="E1224" s="181">
        <v>0.5</v>
      </c>
    </row>
    <row r="1225" spans="2:5" ht="12.75" x14ac:dyDescent="0.2">
      <c r="B1225" s="179" t="s">
        <v>1508</v>
      </c>
      <c r="C1225" s="180" t="s">
        <v>1365</v>
      </c>
      <c r="D1225" s="179" t="s">
        <v>216</v>
      </c>
      <c r="E1225" s="181">
        <v>0.5</v>
      </c>
    </row>
    <row r="1226" spans="2:5" ht="12.75" x14ac:dyDescent="0.2">
      <c r="B1226" s="179" t="s">
        <v>1509</v>
      </c>
      <c r="C1226" s="180" t="s">
        <v>1365</v>
      </c>
      <c r="D1226" s="179" t="s">
        <v>216</v>
      </c>
      <c r="E1226" s="181">
        <v>0.5</v>
      </c>
    </row>
    <row r="1227" spans="2:5" ht="12.75" x14ac:dyDescent="0.2">
      <c r="B1227" s="179" t="s">
        <v>1510</v>
      </c>
      <c r="C1227" s="180" t="s">
        <v>1365</v>
      </c>
      <c r="D1227" s="179" t="s">
        <v>216</v>
      </c>
      <c r="E1227" s="181">
        <v>0.5</v>
      </c>
    </row>
    <row r="1228" spans="2:5" ht="12.75" x14ac:dyDescent="0.2">
      <c r="B1228" s="179" t="s">
        <v>1511</v>
      </c>
      <c r="C1228" s="180" t="s">
        <v>1365</v>
      </c>
      <c r="D1228" s="179" t="s">
        <v>216</v>
      </c>
      <c r="E1228" s="181">
        <v>0.5</v>
      </c>
    </row>
    <row r="1229" spans="2:5" ht="12.75" x14ac:dyDescent="0.2">
      <c r="B1229" s="179" t="s">
        <v>1512</v>
      </c>
      <c r="C1229" s="180" t="s">
        <v>1365</v>
      </c>
      <c r="D1229" s="179" t="s">
        <v>216</v>
      </c>
      <c r="E1229" s="181">
        <v>0.5</v>
      </c>
    </row>
    <row r="1230" spans="2:5" ht="12.75" x14ac:dyDescent="0.2">
      <c r="B1230" s="179" t="s">
        <v>1513</v>
      </c>
      <c r="C1230" s="180" t="s">
        <v>1365</v>
      </c>
      <c r="D1230" s="179" t="s">
        <v>216</v>
      </c>
      <c r="E1230" s="181">
        <v>0.5</v>
      </c>
    </row>
    <row r="1231" spans="2:5" ht="12.75" x14ac:dyDescent="0.2">
      <c r="B1231" s="179" t="s">
        <v>1514</v>
      </c>
      <c r="C1231" s="180" t="s">
        <v>1365</v>
      </c>
      <c r="D1231" s="179" t="s">
        <v>216</v>
      </c>
      <c r="E1231" s="181">
        <v>0.5</v>
      </c>
    </row>
    <row r="1232" spans="2:5" ht="12.75" x14ac:dyDescent="0.2">
      <c r="B1232" s="179" t="s">
        <v>1515</v>
      </c>
      <c r="C1232" s="180" t="s">
        <v>1365</v>
      </c>
      <c r="D1232" s="179" t="s">
        <v>216</v>
      </c>
      <c r="E1232" s="181">
        <v>0.5</v>
      </c>
    </row>
    <row r="1233" spans="2:5" ht="12.75" x14ac:dyDescent="0.2">
      <c r="B1233" s="179" t="s">
        <v>1516</v>
      </c>
      <c r="C1233" s="180" t="s">
        <v>1365</v>
      </c>
      <c r="D1233" s="179" t="s">
        <v>216</v>
      </c>
      <c r="E1233" s="181">
        <v>0.5</v>
      </c>
    </row>
    <row r="1234" spans="2:5" ht="12.75" x14ac:dyDescent="0.2">
      <c r="B1234" s="179" t="s">
        <v>1517</v>
      </c>
      <c r="C1234" s="180" t="s">
        <v>1365</v>
      </c>
      <c r="D1234" s="179" t="s">
        <v>216</v>
      </c>
      <c r="E1234" s="181">
        <v>0.5</v>
      </c>
    </row>
    <row r="1235" spans="2:5" ht="12.75" x14ac:dyDescent="0.2">
      <c r="B1235" s="179" t="s">
        <v>1518</v>
      </c>
      <c r="C1235" s="180" t="s">
        <v>1365</v>
      </c>
      <c r="D1235" s="179" t="s">
        <v>216</v>
      </c>
      <c r="E1235" s="181">
        <v>0.5</v>
      </c>
    </row>
    <row r="1236" spans="2:5" ht="12.75" x14ac:dyDescent="0.2">
      <c r="B1236" s="179" t="s">
        <v>1519</v>
      </c>
      <c r="C1236" s="180" t="s">
        <v>1365</v>
      </c>
      <c r="D1236" s="179" t="s">
        <v>216</v>
      </c>
      <c r="E1236" s="181">
        <v>0.5</v>
      </c>
    </row>
    <row r="1237" spans="2:5" ht="12.75" x14ac:dyDescent="0.2">
      <c r="B1237" s="179" t="s">
        <v>1520</v>
      </c>
      <c r="C1237" s="180" t="s">
        <v>1365</v>
      </c>
      <c r="D1237" s="179" t="s">
        <v>216</v>
      </c>
      <c r="E1237" s="181">
        <v>0.5</v>
      </c>
    </row>
    <row r="1238" spans="2:5" ht="12.75" x14ac:dyDescent="0.2">
      <c r="B1238" s="179" t="s">
        <v>1521</v>
      </c>
      <c r="C1238" s="180" t="s">
        <v>1365</v>
      </c>
      <c r="D1238" s="179" t="s">
        <v>216</v>
      </c>
      <c r="E1238" s="181">
        <v>0.5</v>
      </c>
    </row>
    <row r="1239" spans="2:5" ht="12.75" x14ac:dyDescent="0.2">
      <c r="B1239" s="179" t="s">
        <v>1522</v>
      </c>
      <c r="C1239" s="180" t="s">
        <v>1365</v>
      </c>
      <c r="D1239" s="179" t="s">
        <v>216</v>
      </c>
      <c r="E1239" s="181">
        <v>0.5</v>
      </c>
    </row>
    <row r="1240" spans="2:5" ht="12.75" x14ac:dyDescent="0.2">
      <c r="B1240" s="179" t="s">
        <v>1523</v>
      </c>
      <c r="C1240" s="180" t="s">
        <v>1365</v>
      </c>
      <c r="D1240" s="179" t="s">
        <v>216</v>
      </c>
      <c r="E1240" s="181">
        <v>0.5</v>
      </c>
    </row>
    <row r="1241" spans="2:5" ht="12.75" x14ac:dyDescent="0.2">
      <c r="B1241" s="179" t="s">
        <v>1524</v>
      </c>
      <c r="C1241" s="180" t="s">
        <v>1365</v>
      </c>
      <c r="D1241" s="179" t="s">
        <v>216</v>
      </c>
      <c r="E1241" s="181">
        <v>0.5</v>
      </c>
    </row>
    <row r="1242" spans="2:5" ht="12.75" x14ac:dyDescent="0.2">
      <c r="B1242" s="179" t="s">
        <v>1525</v>
      </c>
      <c r="C1242" s="180" t="s">
        <v>1365</v>
      </c>
      <c r="D1242" s="179" t="s">
        <v>216</v>
      </c>
      <c r="E1242" s="181">
        <v>0.5</v>
      </c>
    </row>
    <row r="1243" spans="2:5" ht="12.75" x14ac:dyDescent="0.2">
      <c r="B1243" s="179" t="s">
        <v>1526</v>
      </c>
      <c r="C1243" s="180" t="s">
        <v>1365</v>
      </c>
      <c r="D1243" s="179" t="s">
        <v>216</v>
      </c>
      <c r="E1243" s="181">
        <v>0.5</v>
      </c>
    </row>
    <row r="1244" spans="2:5" ht="12.75" x14ac:dyDescent="0.2">
      <c r="B1244" s="179" t="s">
        <v>1527</v>
      </c>
      <c r="C1244" s="180" t="s">
        <v>1365</v>
      </c>
      <c r="D1244" s="179" t="s">
        <v>216</v>
      </c>
      <c r="E1244" s="181">
        <v>0.5</v>
      </c>
    </row>
    <row r="1245" spans="2:5" ht="12.75" x14ac:dyDescent="0.2">
      <c r="B1245" s="179" t="s">
        <v>1528</v>
      </c>
      <c r="C1245" s="180" t="s">
        <v>1365</v>
      </c>
      <c r="D1245" s="179" t="s">
        <v>216</v>
      </c>
      <c r="E1245" s="181">
        <v>0.5</v>
      </c>
    </row>
    <row r="1246" spans="2:5" ht="12.75" x14ac:dyDescent="0.2">
      <c r="B1246" s="179" t="s">
        <v>1529</v>
      </c>
      <c r="C1246" s="180" t="s">
        <v>1365</v>
      </c>
      <c r="D1246" s="179" t="s">
        <v>216</v>
      </c>
      <c r="E1246" s="181">
        <v>0.5</v>
      </c>
    </row>
    <row r="1247" spans="2:5" ht="12.75" x14ac:dyDescent="0.2">
      <c r="B1247" s="179" t="s">
        <v>1530</v>
      </c>
      <c r="C1247" s="180" t="s">
        <v>1365</v>
      </c>
      <c r="D1247" s="179" t="s">
        <v>216</v>
      </c>
      <c r="E1247" s="181">
        <v>0.5</v>
      </c>
    </row>
    <row r="1248" spans="2:5" ht="12.75" x14ac:dyDescent="0.2">
      <c r="B1248" s="179" t="s">
        <v>1531</v>
      </c>
      <c r="C1248" s="180" t="s">
        <v>1365</v>
      </c>
      <c r="D1248" s="179" t="s">
        <v>216</v>
      </c>
      <c r="E1248" s="181">
        <v>0.5</v>
      </c>
    </row>
    <row r="1249" spans="2:5" ht="12.75" x14ac:dyDescent="0.2">
      <c r="B1249" s="179" t="s">
        <v>1532</v>
      </c>
      <c r="C1249" s="180" t="s">
        <v>1365</v>
      </c>
      <c r="D1249" s="179" t="s">
        <v>216</v>
      </c>
      <c r="E1249" s="181">
        <v>0.5</v>
      </c>
    </row>
    <row r="1250" spans="2:5" ht="12.75" x14ac:dyDescent="0.2">
      <c r="B1250" s="179" t="s">
        <v>1533</v>
      </c>
      <c r="C1250" s="180" t="s">
        <v>1365</v>
      </c>
      <c r="D1250" s="179" t="s">
        <v>216</v>
      </c>
      <c r="E1250" s="181">
        <v>0.5</v>
      </c>
    </row>
    <row r="1251" spans="2:5" ht="12.75" x14ac:dyDescent="0.2">
      <c r="B1251" s="179" t="s">
        <v>1534</v>
      </c>
      <c r="C1251" s="180" t="s">
        <v>1365</v>
      </c>
      <c r="D1251" s="179" t="s">
        <v>216</v>
      </c>
      <c r="E1251" s="181">
        <v>0.5</v>
      </c>
    </row>
    <row r="1252" spans="2:5" ht="12.75" x14ac:dyDescent="0.2">
      <c r="B1252" s="179" t="s">
        <v>1535</v>
      </c>
      <c r="C1252" s="180" t="s">
        <v>1365</v>
      </c>
      <c r="D1252" s="179" t="s">
        <v>216</v>
      </c>
      <c r="E1252" s="181">
        <v>0.5</v>
      </c>
    </row>
    <row r="1253" spans="2:5" ht="12.75" x14ac:dyDescent="0.2">
      <c r="B1253" s="179" t="s">
        <v>1536</v>
      </c>
      <c r="C1253" s="180" t="s">
        <v>1365</v>
      </c>
      <c r="D1253" s="179" t="s">
        <v>216</v>
      </c>
      <c r="E1253" s="181">
        <v>0.5</v>
      </c>
    </row>
    <row r="1254" spans="2:5" ht="12.75" x14ac:dyDescent="0.2">
      <c r="B1254" s="179" t="s">
        <v>1537</v>
      </c>
      <c r="C1254" s="180" t="s">
        <v>1365</v>
      </c>
      <c r="D1254" s="179" t="s">
        <v>216</v>
      </c>
      <c r="E1254" s="181">
        <v>0.5</v>
      </c>
    </row>
    <row r="1255" spans="2:5" ht="12.75" x14ac:dyDescent="0.2">
      <c r="B1255" s="179" t="s">
        <v>1538</v>
      </c>
      <c r="C1255" s="180" t="s">
        <v>1365</v>
      </c>
      <c r="D1255" s="179" t="s">
        <v>216</v>
      </c>
      <c r="E1255" s="181">
        <v>0.5</v>
      </c>
    </row>
    <row r="1256" spans="2:5" ht="12.75" x14ac:dyDescent="0.2">
      <c r="B1256" s="179" t="s">
        <v>1539</v>
      </c>
      <c r="C1256" s="180" t="s">
        <v>1365</v>
      </c>
      <c r="D1256" s="179" t="s">
        <v>216</v>
      </c>
      <c r="E1256" s="181">
        <v>0.5</v>
      </c>
    </row>
    <row r="1257" spans="2:5" ht="12.75" x14ac:dyDescent="0.2">
      <c r="B1257" s="179" t="s">
        <v>1540</v>
      </c>
      <c r="C1257" s="180" t="s">
        <v>1365</v>
      </c>
      <c r="D1257" s="179" t="s">
        <v>216</v>
      </c>
      <c r="E1257" s="181">
        <v>0.5</v>
      </c>
    </row>
    <row r="1258" spans="2:5" ht="12.75" x14ac:dyDescent="0.2">
      <c r="B1258" s="179" t="s">
        <v>1541</v>
      </c>
      <c r="C1258" s="180" t="s">
        <v>1365</v>
      </c>
      <c r="D1258" s="179" t="s">
        <v>216</v>
      </c>
      <c r="E1258" s="181">
        <v>0.5</v>
      </c>
    </row>
    <row r="1259" spans="2:5" ht="12.75" x14ac:dyDescent="0.2">
      <c r="B1259" s="179" t="s">
        <v>1542</v>
      </c>
      <c r="C1259" s="180" t="s">
        <v>1365</v>
      </c>
      <c r="D1259" s="179" t="s">
        <v>216</v>
      </c>
      <c r="E1259" s="181">
        <v>0.5</v>
      </c>
    </row>
    <row r="1260" spans="2:5" ht="12.75" x14ac:dyDescent="0.2">
      <c r="B1260" s="179" t="s">
        <v>1543</v>
      </c>
      <c r="C1260" s="180" t="s">
        <v>1365</v>
      </c>
      <c r="D1260" s="179" t="s">
        <v>216</v>
      </c>
      <c r="E1260" s="181">
        <v>0.5</v>
      </c>
    </row>
    <row r="1261" spans="2:5" ht="12.75" x14ac:dyDescent="0.2">
      <c r="B1261" s="179" t="s">
        <v>1544</v>
      </c>
      <c r="C1261" s="180" t="s">
        <v>1365</v>
      </c>
      <c r="D1261" s="179" t="s">
        <v>216</v>
      </c>
      <c r="E1261" s="181">
        <v>0.5</v>
      </c>
    </row>
    <row r="1262" spans="2:5" ht="12.75" x14ac:dyDescent="0.2">
      <c r="B1262" s="179" t="s">
        <v>1545</v>
      </c>
      <c r="C1262" s="180" t="s">
        <v>1365</v>
      </c>
      <c r="D1262" s="179" t="s">
        <v>216</v>
      </c>
      <c r="E1262" s="181">
        <v>0.5</v>
      </c>
    </row>
    <row r="1263" spans="2:5" ht="12.75" x14ac:dyDescent="0.2">
      <c r="B1263" s="179" t="s">
        <v>1546</v>
      </c>
      <c r="C1263" s="180" t="s">
        <v>1365</v>
      </c>
      <c r="D1263" s="179" t="s">
        <v>216</v>
      </c>
      <c r="E1263" s="181">
        <v>0.5</v>
      </c>
    </row>
    <row r="1264" spans="2:5" ht="12.75" x14ac:dyDescent="0.2">
      <c r="B1264" s="179" t="s">
        <v>1547</v>
      </c>
      <c r="C1264" s="180" t="s">
        <v>1365</v>
      </c>
      <c r="D1264" s="179" t="s">
        <v>216</v>
      </c>
      <c r="E1264" s="181">
        <v>0.5</v>
      </c>
    </row>
    <row r="1265" spans="2:5" ht="12.75" x14ac:dyDescent="0.2">
      <c r="B1265" s="179" t="s">
        <v>1548</v>
      </c>
      <c r="C1265" s="180" t="s">
        <v>1365</v>
      </c>
      <c r="D1265" s="179" t="s">
        <v>216</v>
      </c>
      <c r="E1265" s="181">
        <v>0.5</v>
      </c>
    </row>
    <row r="1266" spans="2:5" ht="12.75" x14ac:dyDescent="0.2">
      <c r="B1266" s="179" t="s">
        <v>1549</v>
      </c>
      <c r="C1266" s="180" t="s">
        <v>1365</v>
      </c>
      <c r="D1266" s="179" t="s">
        <v>216</v>
      </c>
      <c r="E1266" s="181">
        <v>0.5</v>
      </c>
    </row>
    <row r="1267" spans="2:5" ht="12.75" x14ac:dyDescent="0.2">
      <c r="B1267" s="179" t="s">
        <v>1550</v>
      </c>
      <c r="C1267" s="180" t="s">
        <v>1365</v>
      </c>
      <c r="D1267" s="179" t="s">
        <v>216</v>
      </c>
      <c r="E1267" s="181">
        <v>0.5</v>
      </c>
    </row>
    <row r="1268" spans="2:5" ht="12.75" x14ac:dyDescent="0.2">
      <c r="B1268" s="179" t="s">
        <v>1551</v>
      </c>
      <c r="C1268" s="180" t="s">
        <v>1365</v>
      </c>
      <c r="D1268" s="179" t="s">
        <v>216</v>
      </c>
      <c r="E1268" s="181">
        <v>0.5</v>
      </c>
    </row>
    <row r="1269" spans="2:5" ht="12.75" x14ac:dyDescent="0.2">
      <c r="B1269" s="179" t="s">
        <v>1552</v>
      </c>
      <c r="C1269" s="180" t="s">
        <v>1365</v>
      </c>
      <c r="D1269" s="179" t="s">
        <v>216</v>
      </c>
      <c r="E1269" s="181">
        <v>0.5</v>
      </c>
    </row>
    <row r="1270" spans="2:5" ht="12.75" x14ac:dyDescent="0.2">
      <c r="B1270" s="179" t="s">
        <v>1553</v>
      </c>
      <c r="C1270" s="180" t="s">
        <v>1365</v>
      </c>
      <c r="D1270" s="179" t="s">
        <v>216</v>
      </c>
      <c r="E1270" s="181">
        <v>0.5</v>
      </c>
    </row>
    <row r="1271" spans="2:5" ht="12.75" x14ac:dyDescent="0.2">
      <c r="B1271" s="179" t="s">
        <v>1554</v>
      </c>
      <c r="C1271" s="180" t="s">
        <v>1365</v>
      </c>
      <c r="D1271" s="179" t="s">
        <v>216</v>
      </c>
      <c r="E1271" s="181">
        <v>0.5</v>
      </c>
    </row>
    <row r="1272" spans="2:5" ht="12.75" x14ac:dyDescent="0.2">
      <c r="B1272" s="179" t="s">
        <v>1555</v>
      </c>
      <c r="C1272" s="180" t="s">
        <v>1365</v>
      </c>
      <c r="D1272" s="179" t="s">
        <v>216</v>
      </c>
      <c r="E1272" s="181">
        <v>0.5</v>
      </c>
    </row>
    <row r="1273" spans="2:5" ht="12.75" x14ac:dyDescent="0.2">
      <c r="B1273" s="179" t="s">
        <v>1556</v>
      </c>
      <c r="C1273" s="180" t="s">
        <v>1365</v>
      </c>
      <c r="D1273" s="179" t="s">
        <v>216</v>
      </c>
      <c r="E1273" s="181">
        <v>0.5</v>
      </c>
    </row>
    <row r="1274" spans="2:5" ht="12.75" x14ac:dyDescent="0.2">
      <c r="B1274" s="179" t="s">
        <v>1557</v>
      </c>
      <c r="C1274" s="180" t="s">
        <v>1365</v>
      </c>
      <c r="D1274" s="179" t="s">
        <v>216</v>
      </c>
      <c r="E1274" s="181">
        <v>0.5</v>
      </c>
    </row>
    <row r="1275" spans="2:5" ht="12.75" x14ac:dyDescent="0.2">
      <c r="B1275" s="179" t="s">
        <v>1558</v>
      </c>
      <c r="C1275" s="180" t="s">
        <v>1365</v>
      </c>
      <c r="D1275" s="179" t="s">
        <v>216</v>
      </c>
      <c r="E1275" s="181">
        <v>0.5</v>
      </c>
    </row>
    <row r="1276" spans="2:5" ht="12.75" x14ac:dyDescent="0.2">
      <c r="B1276" s="179" t="s">
        <v>1559</v>
      </c>
      <c r="C1276" s="180" t="s">
        <v>1365</v>
      </c>
      <c r="D1276" s="179" t="s">
        <v>216</v>
      </c>
      <c r="E1276" s="181">
        <v>0.5</v>
      </c>
    </row>
    <row r="1277" spans="2:5" ht="12.75" x14ac:dyDescent="0.2">
      <c r="B1277" s="179" t="s">
        <v>1560</v>
      </c>
      <c r="C1277" s="180" t="s">
        <v>1365</v>
      </c>
      <c r="D1277" s="179" t="s">
        <v>216</v>
      </c>
      <c r="E1277" s="181">
        <v>0.5</v>
      </c>
    </row>
    <row r="1278" spans="2:5" ht="12.75" x14ac:dyDescent="0.2">
      <c r="B1278" s="179" t="s">
        <v>1561</v>
      </c>
      <c r="C1278" s="180" t="s">
        <v>1365</v>
      </c>
      <c r="D1278" s="179" t="s">
        <v>216</v>
      </c>
      <c r="E1278" s="181">
        <v>0.5</v>
      </c>
    </row>
    <row r="1279" spans="2:5" ht="12.75" x14ac:dyDescent="0.2">
      <c r="B1279" s="179" t="s">
        <v>1562</v>
      </c>
      <c r="C1279" s="180" t="s">
        <v>1365</v>
      </c>
      <c r="D1279" s="179" t="s">
        <v>216</v>
      </c>
      <c r="E1279" s="181">
        <v>0.5</v>
      </c>
    </row>
    <row r="1280" spans="2:5" ht="12.75" x14ac:dyDescent="0.2">
      <c r="B1280" s="179" t="s">
        <v>1563</v>
      </c>
      <c r="C1280" s="180" t="s">
        <v>1365</v>
      </c>
      <c r="D1280" s="179" t="s">
        <v>216</v>
      </c>
      <c r="E1280" s="181">
        <v>0.5</v>
      </c>
    </row>
    <row r="1281" spans="2:5" ht="12.75" x14ac:dyDescent="0.2">
      <c r="B1281" s="179" t="s">
        <v>1564</v>
      </c>
      <c r="C1281" s="180" t="s">
        <v>1365</v>
      </c>
      <c r="D1281" s="179" t="s">
        <v>216</v>
      </c>
      <c r="E1281" s="181">
        <v>0.5</v>
      </c>
    </row>
    <row r="1282" spans="2:5" ht="12.75" x14ac:dyDescent="0.2">
      <c r="B1282" s="179" t="s">
        <v>1565</v>
      </c>
      <c r="C1282" s="180" t="s">
        <v>1365</v>
      </c>
      <c r="D1282" s="179" t="s">
        <v>216</v>
      </c>
      <c r="E1282" s="181">
        <v>0.5</v>
      </c>
    </row>
    <row r="1283" spans="2:5" ht="12.75" x14ac:dyDescent="0.2">
      <c r="B1283" s="179" t="s">
        <v>1566</v>
      </c>
      <c r="C1283" s="180" t="s">
        <v>1365</v>
      </c>
      <c r="D1283" s="179" t="s">
        <v>216</v>
      </c>
      <c r="E1283" s="181">
        <v>0.5</v>
      </c>
    </row>
    <row r="1284" spans="2:5" ht="12.75" x14ac:dyDescent="0.2">
      <c r="B1284" s="179" t="s">
        <v>1567</v>
      </c>
      <c r="C1284" s="180" t="s">
        <v>1365</v>
      </c>
      <c r="D1284" s="179" t="s">
        <v>216</v>
      </c>
      <c r="E1284" s="181">
        <v>0.5</v>
      </c>
    </row>
    <row r="1285" spans="2:5" ht="12.75" x14ac:dyDescent="0.2">
      <c r="B1285" s="179" t="s">
        <v>1568</v>
      </c>
      <c r="C1285" s="180" t="s">
        <v>1365</v>
      </c>
      <c r="D1285" s="179" t="s">
        <v>216</v>
      </c>
      <c r="E1285" s="181">
        <v>0.5</v>
      </c>
    </row>
    <row r="1286" spans="2:5" ht="12.75" x14ac:dyDescent="0.2">
      <c r="B1286" s="179" t="s">
        <v>1569</v>
      </c>
      <c r="C1286" s="180" t="s">
        <v>1365</v>
      </c>
      <c r="D1286" s="179" t="s">
        <v>216</v>
      </c>
      <c r="E1286" s="181">
        <v>0.5</v>
      </c>
    </row>
    <row r="1287" spans="2:5" ht="12.75" x14ac:dyDescent="0.2">
      <c r="B1287" s="179" t="s">
        <v>1570</v>
      </c>
      <c r="C1287" s="180" t="s">
        <v>1365</v>
      </c>
      <c r="D1287" s="179" t="s">
        <v>216</v>
      </c>
      <c r="E1287" s="181">
        <v>0.5</v>
      </c>
    </row>
    <row r="1288" spans="2:5" ht="12.75" x14ac:dyDescent="0.2">
      <c r="B1288" s="179" t="s">
        <v>1571</v>
      </c>
      <c r="C1288" s="180" t="s">
        <v>1365</v>
      </c>
      <c r="D1288" s="179" t="s">
        <v>216</v>
      </c>
      <c r="E1288" s="181">
        <v>0.5</v>
      </c>
    </row>
    <row r="1289" spans="2:5" ht="12.75" x14ac:dyDescent="0.2">
      <c r="B1289" s="179" t="s">
        <v>1572</v>
      </c>
      <c r="C1289" s="180" t="s">
        <v>1365</v>
      </c>
      <c r="D1289" s="179" t="s">
        <v>216</v>
      </c>
      <c r="E1289" s="181">
        <v>0.5</v>
      </c>
    </row>
    <row r="1290" spans="2:5" ht="12.75" x14ac:dyDescent="0.2">
      <c r="B1290" s="179" t="s">
        <v>1573</v>
      </c>
      <c r="C1290" s="180" t="s">
        <v>1365</v>
      </c>
      <c r="D1290" s="179" t="s">
        <v>216</v>
      </c>
      <c r="E1290" s="181">
        <v>0.5</v>
      </c>
    </row>
    <row r="1291" spans="2:5" ht="12.75" x14ac:dyDescent="0.2">
      <c r="B1291" s="179" t="s">
        <v>1574</v>
      </c>
      <c r="C1291" s="180" t="s">
        <v>1365</v>
      </c>
      <c r="D1291" s="179" t="s">
        <v>216</v>
      </c>
      <c r="E1291" s="181">
        <v>0.5</v>
      </c>
    </row>
    <row r="1292" spans="2:5" ht="12.75" x14ac:dyDescent="0.2">
      <c r="B1292" s="179" t="s">
        <v>1575</v>
      </c>
      <c r="C1292" s="180" t="s">
        <v>1365</v>
      </c>
      <c r="D1292" s="179" t="s">
        <v>216</v>
      </c>
      <c r="E1292" s="181">
        <v>0.5</v>
      </c>
    </row>
    <row r="1293" spans="2:5" ht="12.75" x14ac:dyDescent="0.2">
      <c r="B1293" s="179" t="s">
        <v>1576</v>
      </c>
      <c r="C1293" s="180" t="s">
        <v>1365</v>
      </c>
      <c r="D1293" s="179" t="s">
        <v>216</v>
      </c>
      <c r="E1293" s="181">
        <v>0.5</v>
      </c>
    </row>
    <row r="1294" spans="2:5" ht="12.75" x14ac:dyDescent="0.2">
      <c r="B1294" s="179" t="s">
        <v>1577</v>
      </c>
      <c r="C1294" s="180" t="s">
        <v>1365</v>
      </c>
      <c r="D1294" s="179" t="s">
        <v>216</v>
      </c>
      <c r="E1294" s="181">
        <v>0.5</v>
      </c>
    </row>
    <row r="1295" spans="2:5" ht="12.75" x14ac:dyDescent="0.2">
      <c r="B1295" s="179" t="s">
        <v>1578</v>
      </c>
      <c r="C1295" s="180" t="s">
        <v>1365</v>
      </c>
      <c r="D1295" s="179" t="s">
        <v>216</v>
      </c>
      <c r="E1295" s="181">
        <v>0.5</v>
      </c>
    </row>
    <row r="1296" spans="2:5" ht="12.75" x14ac:dyDescent="0.2">
      <c r="B1296" s="179" t="s">
        <v>1579</v>
      </c>
      <c r="C1296" s="180" t="s">
        <v>1365</v>
      </c>
      <c r="D1296" s="179" t="s">
        <v>216</v>
      </c>
      <c r="E1296" s="181">
        <v>0.5</v>
      </c>
    </row>
    <row r="1297" spans="2:5" ht="12.75" x14ac:dyDescent="0.2">
      <c r="B1297" s="179" t="s">
        <v>1580</v>
      </c>
      <c r="C1297" s="180" t="s">
        <v>1365</v>
      </c>
      <c r="D1297" s="179" t="s">
        <v>216</v>
      </c>
      <c r="E1297" s="181">
        <v>0.5</v>
      </c>
    </row>
    <row r="1298" spans="2:5" ht="12.75" x14ac:dyDescent="0.2">
      <c r="B1298" s="179" t="s">
        <v>1581</v>
      </c>
      <c r="C1298" s="180" t="s">
        <v>1365</v>
      </c>
      <c r="D1298" s="179" t="s">
        <v>216</v>
      </c>
      <c r="E1298" s="181">
        <v>0.5</v>
      </c>
    </row>
    <row r="1299" spans="2:5" ht="12.75" x14ac:dyDescent="0.2">
      <c r="B1299" s="179" t="s">
        <v>1582</v>
      </c>
      <c r="C1299" s="180" t="s">
        <v>1365</v>
      </c>
      <c r="D1299" s="179" t="s">
        <v>216</v>
      </c>
      <c r="E1299" s="181">
        <v>0.5</v>
      </c>
    </row>
    <row r="1300" spans="2:5" ht="12.75" x14ac:dyDescent="0.2">
      <c r="B1300" s="179" t="s">
        <v>1583</v>
      </c>
      <c r="C1300" s="180" t="s">
        <v>1365</v>
      </c>
      <c r="D1300" s="179" t="s">
        <v>216</v>
      </c>
      <c r="E1300" s="181">
        <v>0.5</v>
      </c>
    </row>
    <row r="1301" spans="2:5" ht="12.75" x14ac:dyDescent="0.2">
      <c r="B1301" s="179" t="s">
        <v>1584</v>
      </c>
      <c r="C1301" s="180" t="s">
        <v>1365</v>
      </c>
      <c r="D1301" s="179" t="s">
        <v>216</v>
      </c>
      <c r="E1301" s="181">
        <v>0.5</v>
      </c>
    </row>
    <row r="1302" spans="2:5" ht="12.75" x14ac:dyDescent="0.2">
      <c r="B1302" s="179" t="s">
        <v>1585</v>
      </c>
      <c r="C1302" s="180" t="s">
        <v>1365</v>
      </c>
      <c r="D1302" s="179" t="s">
        <v>216</v>
      </c>
      <c r="E1302" s="181">
        <v>0.5</v>
      </c>
    </row>
    <row r="1303" spans="2:5" ht="12.75" x14ac:dyDescent="0.2">
      <c r="B1303" s="179" t="s">
        <v>1586</v>
      </c>
      <c r="C1303" s="180" t="s">
        <v>1365</v>
      </c>
      <c r="D1303" s="179" t="s">
        <v>216</v>
      </c>
      <c r="E1303" s="181">
        <v>0.5</v>
      </c>
    </row>
    <row r="1304" spans="2:5" ht="12.75" x14ac:dyDescent="0.2">
      <c r="B1304" s="179" t="s">
        <v>1587</v>
      </c>
      <c r="C1304" s="180" t="s">
        <v>1365</v>
      </c>
      <c r="D1304" s="179" t="s">
        <v>216</v>
      </c>
      <c r="E1304" s="181">
        <v>0.5</v>
      </c>
    </row>
    <row r="1305" spans="2:5" ht="12.75" x14ac:dyDescent="0.2">
      <c r="B1305" s="179" t="s">
        <v>1588</v>
      </c>
      <c r="C1305" s="180" t="s">
        <v>1365</v>
      </c>
      <c r="D1305" s="179" t="s">
        <v>216</v>
      </c>
      <c r="E1305" s="181">
        <v>0.5</v>
      </c>
    </row>
    <row r="1306" spans="2:5" ht="12.75" x14ac:dyDescent="0.2">
      <c r="B1306" s="179" t="s">
        <v>1589</v>
      </c>
      <c r="C1306" s="180" t="s">
        <v>1365</v>
      </c>
      <c r="D1306" s="179" t="s">
        <v>216</v>
      </c>
      <c r="E1306" s="181">
        <v>0.5</v>
      </c>
    </row>
    <row r="1307" spans="2:5" ht="12.75" x14ac:dyDescent="0.2">
      <c r="B1307" s="179" t="s">
        <v>1590</v>
      </c>
      <c r="C1307" s="180" t="s">
        <v>1365</v>
      </c>
      <c r="D1307" s="179" t="s">
        <v>216</v>
      </c>
      <c r="E1307" s="181">
        <v>0.5</v>
      </c>
    </row>
    <row r="1308" spans="2:5" ht="12.75" x14ac:dyDescent="0.2">
      <c r="B1308" s="179" t="s">
        <v>1591</v>
      </c>
      <c r="C1308" s="180" t="s">
        <v>1365</v>
      </c>
      <c r="D1308" s="179" t="s">
        <v>216</v>
      </c>
      <c r="E1308" s="181">
        <v>0.5</v>
      </c>
    </row>
    <row r="1309" spans="2:5" ht="12.75" x14ac:dyDescent="0.2">
      <c r="B1309" s="179" t="s">
        <v>1592</v>
      </c>
      <c r="C1309" s="180" t="s">
        <v>1365</v>
      </c>
      <c r="D1309" s="179" t="s">
        <v>216</v>
      </c>
      <c r="E1309" s="181">
        <v>0.5</v>
      </c>
    </row>
    <row r="1310" spans="2:5" ht="12.75" x14ac:dyDescent="0.2">
      <c r="B1310" s="179" t="s">
        <v>1593</v>
      </c>
      <c r="C1310" s="180" t="s">
        <v>1365</v>
      </c>
      <c r="D1310" s="179" t="s">
        <v>216</v>
      </c>
      <c r="E1310" s="181">
        <v>0.5</v>
      </c>
    </row>
    <row r="1311" spans="2:5" ht="12.75" x14ac:dyDescent="0.2">
      <c r="B1311" s="179" t="s">
        <v>1594</v>
      </c>
      <c r="C1311" s="180" t="s">
        <v>1365</v>
      </c>
      <c r="D1311" s="179" t="s">
        <v>216</v>
      </c>
      <c r="E1311" s="181">
        <v>0.5</v>
      </c>
    </row>
    <row r="1312" spans="2:5" ht="12.75" x14ac:dyDescent="0.2">
      <c r="B1312" s="179" t="s">
        <v>1595</v>
      </c>
      <c r="C1312" s="180" t="s">
        <v>1365</v>
      </c>
      <c r="D1312" s="179" t="s">
        <v>216</v>
      </c>
      <c r="E1312" s="181">
        <v>0.5</v>
      </c>
    </row>
    <row r="1313" spans="2:5" ht="12.75" x14ac:dyDescent="0.2">
      <c r="B1313" s="179" t="s">
        <v>1596</v>
      </c>
      <c r="C1313" s="180" t="s">
        <v>1365</v>
      </c>
      <c r="D1313" s="179" t="s">
        <v>216</v>
      </c>
      <c r="E1313" s="181">
        <v>0.5</v>
      </c>
    </row>
    <row r="1314" spans="2:5" ht="12.75" x14ac:dyDescent="0.2">
      <c r="B1314" s="179" t="s">
        <v>1597</v>
      </c>
      <c r="C1314" s="180" t="s">
        <v>1365</v>
      </c>
      <c r="D1314" s="179" t="s">
        <v>216</v>
      </c>
      <c r="E1314" s="181">
        <v>0.5</v>
      </c>
    </row>
    <row r="1315" spans="2:5" ht="12.75" x14ac:dyDescent="0.2">
      <c r="B1315" s="179" t="s">
        <v>1598</v>
      </c>
      <c r="C1315" s="180" t="s">
        <v>1365</v>
      </c>
      <c r="D1315" s="179" t="s">
        <v>216</v>
      </c>
      <c r="E1315" s="181">
        <v>0.5</v>
      </c>
    </row>
    <row r="1316" spans="2:5" ht="12.75" x14ac:dyDescent="0.2">
      <c r="B1316" s="179" t="s">
        <v>1599</v>
      </c>
      <c r="C1316" s="180" t="s">
        <v>1365</v>
      </c>
      <c r="D1316" s="179" t="s">
        <v>216</v>
      </c>
      <c r="E1316" s="181">
        <v>0.5</v>
      </c>
    </row>
    <row r="1317" spans="2:5" ht="12.75" x14ac:dyDescent="0.2">
      <c r="B1317" s="179" t="s">
        <v>1600</v>
      </c>
      <c r="C1317" s="180" t="s">
        <v>1365</v>
      </c>
      <c r="D1317" s="179" t="s">
        <v>216</v>
      </c>
      <c r="E1317" s="181">
        <v>0.5</v>
      </c>
    </row>
    <row r="1318" spans="2:5" ht="12.75" x14ac:dyDescent="0.2">
      <c r="B1318" s="179" t="s">
        <v>1601</v>
      </c>
      <c r="C1318" s="180" t="s">
        <v>1365</v>
      </c>
      <c r="D1318" s="179" t="s">
        <v>216</v>
      </c>
      <c r="E1318" s="181">
        <v>0.5</v>
      </c>
    </row>
    <row r="1319" spans="2:5" ht="12.75" x14ac:dyDescent="0.2">
      <c r="B1319" s="179" t="s">
        <v>1602</v>
      </c>
      <c r="C1319" s="180" t="s">
        <v>1365</v>
      </c>
      <c r="D1319" s="179" t="s">
        <v>216</v>
      </c>
      <c r="E1319" s="181">
        <v>0.5</v>
      </c>
    </row>
    <row r="1320" spans="2:5" ht="12.75" x14ac:dyDescent="0.2">
      <c r="B1320" s="179" t="s">
        <v>1603</v>
      </c>
      <c r="C1320" s="180" t="s">
        <v>1365</v>
      </c>
      <c r="D1320" s="179" t="s">
        <v>216</v>
      </c>
      <c r="E1320" s="181">
        <v>0.5</v>
      </c>
    </row>
    <row r="1321" spans="2:5" ht="12.75" x14ac:dyDescent="0.2">
      <c r="B1321" s="179" t="s">
        <v>1604</v>
      </c>
      <c r="C1321" s="180" t="s">
        <v>1365</v>
      </c>
      <c r="D1321" s="179" t="s">
        <v>216</v>
      </c>
      <c r="E1321" s="181">
        <v>0.5</v>
      </c>
    </row>
    <row r="1322" spans="2:5" ht="12.75" x14ac:dyDescent="0.2">
      <c r="B1322" s="179" t="s">
        <v>1605</v>
      </c>
      <c r="C1322" s="180" t="s">
        <v>1365</v>
      </c>
      <c r="D1322" s="179" t="s">
        <v>216</v>
      </c>
      <c r="E1322" s="181">
        <v>0.5</v>
      </c>
    </row>
    <row r="1323" spans="2:5" ht="12.75" x14ac:dyDescent="0.2">
      <c r="B1323" s="179" t="s">
        <v>1606</v>
      </c>
      <c r="C1323" s="180" t="s">
        <v>1365</v>
      </c>
      <c r="D1323" s="179" t="s">
        <v>216</v>
      </c>
      <c r="E1323" s="181">
        <v>0.5</v>
      </c>
    </row>
    <row r="1324" spans="2:5" ht="12.75" x14ac:dyDescent="0.2">
      <c r="B1324" s="179" t="s">
        <v>1607</v>
      </c>
      <c r="C1324" s="180" t="s">
        <v>1365</v>
      </c>
      <c r="D1324" s="179" t="s">
        <v>216</v>
      </c>
      <c r="E1324" s="181">
        <v>0.5</v>
      </c>
    </row>
    <row r="1325" spans="2:5" ht="12.75" x14ac:dyDescent="0.2">
      <c r="B1325" s="179" t="s">
        <v>1608</v>
      </c>
      <c r="C1325" s="180" t="s">
        <v>1365</v>
      </c>
      <c r="D1325" s="179" t="s">
        <v>216</v>
      </c>
      <c r="E1325" s="181">
        <v>0.5</v>
      </c>
    </row>
    <row r="1326" spans="2:5" ht="12.75" x14ac:dyDescent="0.2">
      <c r="B1326" s="179" t="s">
        <v>1609</v>
      </c>
      <c r="C1326" s="180" t="s">
        <v>1365</v>
      </c>
      <c r="D1326" s="179" t="s">
        <v>216</v>
      </c>
      <c r="E1326" s="181">
        <v>0.5</v>
      </c>
    </row>
    <row r="1327" spans="2:5" ht="12.75" x14ac:dyDescent="0.2">
      <c r="B1327" s="179" t="s">
        <v>1610</v>
      </c>
      <c r="C1327" s="180" t="s">
        <v>1365</v>
      </c>
      <c r="D1327" s="179" t="s">
        <v>216</v>
      </c>
      <c r="E1327" s="181">
        <v>0.5</v>
      </c>
    </row>
    <row r="1328" spans="2:5" ht="12.75" x14ac:dyDescent="0.2">
      <c r="B1328" s="179" t="s">
        <v>1611</v>
      </c>
      <c r="C1328" s="180" t="s">
        <v>1365</v>
      </c>
      <c r="D1328" s="179" t="s">
        <v>216</v>
      </c>
      <c r="E1328" s="181">
        <v>0.5</v>
      </c>
    </row>
    <row r="1329" spans="2:5" ht="12.75" x14ac:dyDescent="0.2">
      <c r="B1329" s="179" t="s">
        <v>1612</v>
      </c>
      <c r="C1329" s="180" t="s">
        <v>1365</v>
      </c>
      <c r="D1329" s="179" t="s">
        <v>216</v>
      </c>
      <c r="E1329" s="181">
        <v>0.5</v>
      </c>
    </row>
    <row r="1330" spans="2:5" ht="12.75" x14ac:dyDescent="0.2">
      <c r="B1330" s="179" t="s">
        <v>1613</v>
      </c>
      <c r="C1330" s="180" t="s">
        <v>1365</v>
      </c>
      <c r="D1330" s="179" t="s">
        <v>216</v>
      </c>
      <c r="E1330" s="181">
        <v>0.5</v>
      </c>
    </row>
    <row r="1331" spans="2:5" ht="12.75" x14ac:dyDescent="0.2">
      <c r="B1331" s="179" t="s">
        <v>1614</v>
      </c>
      <c r="C1331" s="180" t="s">
        <v>1365</v>
      </c>
      <c r="D1331" s="179" t="s">
        <v>216</v>
      </c>
      <c r="E1331" s="181">
        <v>0.5</v>
      </c>
    </row>
    <row r="1332" spans="2:5" ht="12.75" x14ac:dyDescent="0.2">
      <c r="B1332" s="179" t="s">
        <v>1615</v>
      </c>
      <c r="C1332" s="180" t="s">
        <v>1365</v>
      </c>
      <c r="D1332" s="179" t="s">
        <v>216</v>
      </c>
      <c r="E1332" s="181">
        <v>0.5</v>
      </c>
    </row>
    <row r="1333" spans="2:5" ht="12.75" x14ac:dyDescent="0.2">
      <c r="B1333" s="179" t="s">
        <v>1616</v>
      </c>
      <c r="C1333" s="180" t="s">
        <v>1365</v>
      </c>
      <c r="D1333" s="179" t="s">
        <v>216</v>
      </c>
      <c r="E1333" s="181">
        <v>0.5</v>
      </c>
    </row>
    <row r="1334" spans="2:5" ht="12.75" x14ac:dyDescent="0.2">
      <c r="B1334" s="179" t="s">
        <v>1617</v>
      </c>
      <c r="C1334" s="180" t="s">
        <v>1365</v>
      </c>
      <c r="D1334" s="179" t="s">
        <v>216</v>
      </c>
      <c r="E1334" s="181">
        <v>0.5</v>
      </c>
    </row>
    <row r="1335" spans="2:5" ht="12.75" x14ac:dyDescent="0.2">
      <c r="B1335" s="179" t="s">
        <v>1618</v>
      </c>
      <c r="C1335" s="180" t="s">
        <v>1365</v>
      </c>
      <c r="D1335" s="179" t="s">
        <v>216</v>
      </c>
      <c r="E1335" s="181">
        <v>0.5</v>
      </c>
    </row>
    <row r="1336" spans="2:5" ht="12.75" x14ac:dyDescent="0.2">
      <c r="B1336" s="179" t="s">
        <v>1619</v>
      </c>
      <c r="C1336" s="180" t="s">
        <v>1365</v>
      </c>
      <c r="D1336" s="179" t="s">
        <v>216</v>
      </c>
      <c r="E1336" s="181">
        <v>0.5</v>
      </c>
    </row>
    <row r="1337" spans="2:5" ht="12.75" x14ac:dyDescent="0.2">
      <c r="B1337" s="179" t="s">
        <v>1620</v>
      </c>
      <c r="C1337" s="180" t="s">
        <v>1365</v>
      </c>
      <c r="D1337" s="179" t="s">
        <v>216</v>
      </c>
      <c r="E1337" s="181">
        <v>0.5</v>
      </c>
    </row>
    <row r="1338" spans="2:5" ht="12.75" x14ac:dyDescent="0.2">
      <c r="B1338" s="179" t="s">
        <v>1621</v>
      </c>
      <c r="C1338" s="180" t="s">
        <v>1365</v>
      </c>
      <c r="D1338" s="179" t="s">
        <v>216</v>
      </c>
      <c r="E1338" s="181">
        <v>0.5</v>
      </c>
    </row>
    <row r="1339" spans="2:5" ht="12.75" x14ac:dyDescent="0.2">
      <c r="B1339" s="179" t="s">
        <v>1622</v>
      </c>
      <c r="C1339" s="180" t="s">
        <v>1365</v>
      </c>
      <c r="D1339" s="179" t="s">
        <v>216</v>
      </c>
      <c r="E1339" s="181">
        <v>0.5</v>
      </c>
    </row>
    <row r="1340" spans="2:5" ht="12.75" x14ac:dyDescent="0.2">
      <c r="B1340" s="179" t="s">
        <v>1623</v>
      </c>
      <c r="C1340" s="180" t="s">
        <v>1365</v>
      </c>
      <c r="D1340" s="179" t="s">
        <v>216</v>
      </c>
      <c r="E1340" s="181">
        <v>0.5</v>
      </c>
    </row>
    <row r="1341" spans="2:5" ht="12.75" x14ac:dyDescent="0.2">
      <c r="B1341" s="179" t="s">
        <v>1624</v>
      </c>
      <c r="C1341" s="180" t="s">
        <v>1365</v>
      </c>
      <c r="D1341" s="179" t="s">
        <v>216</v>
      </c>
      <c r="E1341" s="181">
        <v>0.5</v>
      </c>
    </row>
    <row r="1342" spans="2:5" ht="12.75" x14ac:dyDescent="0.2">
      <c r="B1342" s="179" t="s">
        <v>1625</v>
      </c>
      <c r="C1342" s="180" t="s">
        <v>1365</v>
      </c>
      <c r="D1342" s="179" t="s">
        <v>216</v>
      </c>
      <c r="E1342" s="181">
        <v>0.5</v>
      </c>
    </row>
    <row r="1343" spans="2:5" ht="12.75" x14ac:dyDescent="0.2">
      <c r="B1343" s="179" t="s">
        <v>1626</v>
      </c>
      <c r="C1343" s="180" t="s">
        <v>1365</v>
      </c>
      <c r="D1343" s="179" t="s">
        <v>216</v>
      </c>
      <c r="E1343" s="181">
        <v>0.5</v>
      </c>
    </row>
    <row r="1344" spans="2:5" ht="12.75" x14ac:dyDescent="0.2">
      <c r="B1344" s="179" t="s">
        <v>1627</v>
      </c>
      <c r="C1344" s="180" t="s">
        <v>1365</v>
      </c>
      <c r="D1344" s="179" t="s">
        <v>216</v>
      </c>
      <c r="E1344" s="181">
        <v>0.5</v>
      </c>
    </row>
    <row r="1345" spans="2:5" ht="12.75" x14ac:dyDescent="0.2">
      <c r="B1345" s="179" t="s">
        <v>1628</v>
      </c>
      <c r="C1345" s="180" t="s">
        <v>1365</v>
      </c>
      <c r="D1345" s="179" t="s">
        <v>216</v>
      </c>
      <c r="E1345" s="181">
        <v>0.5</v>
      </c>
    </row>
    <row r="1346" spans="2:5" ht="12.75" x14ac:dyDescent="0.2">
      <c r="B1346" s="179" t="s">
        <v>1629</v>
      </c>
      <c r="C1346" s="180" t="s">
        <v>1365</v>
      </c>
      <c r="D1346" s="179" t="s">
        <v>216</v>
      </c>
      <c r="E1346" s="181">
        <v>0.5</v>
      </c>
    </row>
    <row r="1347" spans="2:5" ht="12.75" x14ac:dyDescent="0.2">
      <c r="B1347" s="179" t="s">
        <v>1630</v>
      </c>
      <c r="C1347" s="180" t="s">
        <v>1365</v>
      </c>
      <c r="D1347" s="179" t="s">
        <v>216</v>
      </c>
      <c r="E1347" s="181">
        <v>0.5</v>
      </c>
    </row>
    <row r="1348" spans="2:5" ht="12.75" x14ac:dyDescent="0.2">
      <c r="B1348" s="179" t="s">
        <v>1631</v>
      </c>
      <c r="C1348" s="180" t="s">
        <v>1365</v>
      </c>
      <c r="D1348" s="179" t="s">
        <v>216</v>
      </c>
      <c r="E1348" s="181">
        <v>0.5</v>
      </c>
    </row>
    <row r="1349" spans="2:5" ht="12.75" x14ac:dyDescent="0.2">
      <c r="B1349" s="179" t="s">
        <v>1632</v>
      </c>
      <c r="C1349" s="180" t="s">
        <v>1365</v>
      </c>
      <c r="D1349" s="179" t="s">
        <v>216</v>
      </c>
      <c r="E1349" s="181">
        <v>0.5</v>
      </c>
    </row>
    <row r="1350" spans="2:5" ht="12.75" x14ac:dyDescent="0.2">
      <c r="B1350" s="179" t="s">
        <v>1633</v>
      </c>
      <c r="C1350" s="180" t="s">
        <v>1365</v>
      </c>
      <c r="D1350" s="179" t="s">
        <v>216</v>
      </c>
      <c r="E1350" s="181">
        <v>0.5</v>
      </c>
    </row>
    <row r="1351" spans="2:5" ht="12.75" x14ac:dyDescent="0.2">
      <c r="B1351" s="179" t="s">
        <v>1634</v>
      </c>
      <c r="C1351" s="180" t="s">
        <v>1365</v>
      </c>
      <c r="D1351" s="179" t="s">
        <v>216</v>
      </c>
      <c r="E1351" s="181">
        <v>0.5</v>
      </c>
    </row>
    <row r="1352" spans="2:5" ht="12.75" x14ac:dyDescent="0.2">
      <c r="B1352" s="179" t="s">
        <v>1635</v>
      </c>
      <c r="C1352" s="180" t="s">
        <v>1365</v>
      </c>
      <c r="D1352" s="179" t="s">
        <v>216</v>
      </c>
      <c r="E1352" s="181">
        <v>0.5</v>
      </c>
    </row>
    <row r="1353" spans="2:5" ht="12.75" x14ac:dyDescent="0.2">
      <c r="B1353" s="179" t="s">
        <v>1636</v>
      </c>
      <c r="C1353" s="180" t="s">
        <v>1365</v>
      </c>
      <c r="D1353" s="179" t="s">
        <v>216</v>
      </c>
      <c r="E1353" s="181">
        <v>0.5</v>
      </c>
    </row>
    <row r="1354" spans="2:5" ht="12.75" x14ac:dyDescent="0.2">
      <c r="B1354" s="179" t="s">
        <v>1637</v>
      </c>
      <c r="C1354" s="180" t="s">
        <v>1365</v>
      </c>
      <c r="D1354" s="179" t="s">
        <v>216</v>
      </c>
      <c r="E1354" s="181">
        <v>0.5</v>
      </c>
    </row>
    <row r="1355" spans="2:5" ht="12.75" x14ac:dyDescent="0.2">
      <c r="B1355" s="179" t="s">
        <v>1638</v>
      </c>
      <c r="C1355" s="180" t="s">
        <v>1365</v>
      </c>
      <c r="D1355" s="179" t="s">
        <v>216</v>
      </c>
      <c r="E1355" s="181">
        <v>0.5</v>
      </c>
    </row>
    <row r="1356" spans="2:5" ht="12.75" x14ac:dyDescent="0.2">
      <c r="B1356" s="179" t="s">
        <v>1639</v>
      </c>
      <c r="C1356" s="180" t="s">
        <v>1365</v>
      </c>
      <c r="D1356" s="179" t="s">
        <v>216</v>
      </c>
      <c r="E1356" s="181">
        <v>0.5</v>
      </c>
    </row>
    <row r="1357" spans="2:5" ht="12.75" x14ac:dyDescent="0.2">
      <c r="B1357" s="179" t="s">
        <v>1640</v>
      </c>
      <c r="C1357" s="180" t="s">
        <v>1365</v>
      </c>
      <c r="D1357" s="179" t="s">
        <v>216</v>
      </c>
      <c r="E1357" s="181">
        <v>0.5</v>
      </c>
    </row>
    <row r="1358" spans="2:5" ht="12.75" x14ac:dyDescent="0.2">
      <c r="B1358" s="179" t="s">
        <v>1641</v>
      </c>
      <c r="C1358" s="180" t="s">
        <v>1365</v>
      </c>
      <c r="D1358" s="179" t="s">
        <v>216</v>
      </c>
      <c r="E1358" s="181">
        <v>0.5</v>
      </c>
    </row>
    <row r="1359" spans="2:5" ht="12.75" x14ac:dyDescent="0.2">
      <c r="B1359" s="179" t="s">
        <v>1642</v>
      </c>
      <c r="C1359" s="180" t="s">
        <v>1365</v>
      </c>
      <c r="D1359" s="179" t="s">
        <v>216</v>
      </c>
      <c r="E1359" s="181">
        <v>0.5</v>
      </c>
    </row>
    <row r="1360" spans="2:5" ht="12.75" x14ac:dyDescent="0.2">
      <c r="B1360" s="179" t="s">
        <v>1643</v>
      </c>
      <c r="C1360" s="180" t="s">
        <v>1365</v>
      </c>
      <c r="D1360" s="179" t="s">
        <v>216</v>
      </c>
      <c r="E1360" s="181">
        <v>0.5</v>
      </c>
    </row>
    <row r="1361" spans="2:5" ht="12.75" x14ac:dyDescent="0.2">
      <c r="B1361" s="179" t="s">
        <v>1644</v>
      </c>
      <c r="C1361" s="180" t="s">
        <v>1365</v>
      </c>
      <c r="D1361" s="179" t="s">
        <v>216</v>
      </c>
      <c r="E1361" s="181">
        <v>0.5</v>
      </c>
    </row>
    <row r="1362" spans="2:5" ht="12.75" x14ac:dyDescent="0.2">
      <c r="B1362" s="179" t="s">
        <v>1645</v>
      </c>
      <c r="C1362" s="180" t="s">
        <v>1365</v>
      </c>
      <c r="D1362" s="179" t="s">
        <v>216</v>
      </c>
      <c r="E1362" s="181">
        <v>0.5</v>
      </c>
    </row>
    <row r="1363" spans="2:5" ht="12.75" x14ac:dyDescent="0.2">
      <c r="B1363" s="179" t="s">
        <v>1646</v>
      </c>
      <c r="C1363" s="180" t="s">
        <v>1365</v>
      </c>
      <c r="D1363" s="179" t="s">
        <v>216</v>
      </c>
      <c r="E1363" s="181">
        <v>0.5</v>
      </c>
    </row>
    <row r="1364" spans="2:5" ht="12.75" x14ac:dyDescent="0.2">
      <c r="B1364" s="179" t="s">
        <v>1647</v>
      </c>
      <c r="C1364" s="180" t="s">
        <v>1365</v>
      </c>
      <c r="D1364" s="179" t="s">
        <v>216</v>
      </c>
      <c r="E1364" s="181">
        <v>0.5</v>
      </c>
    </row>
    <row r="1365" spans="2:5" ht="12.75" x14ac:dyDescent="0.2">
      <c r="B1365" s="179" t="s">
        <v>1648</v>
      </c>
      <c r="C1365" s="180" t="s">
        <v>1365</v>
      </c>
      <c r="D1365" s="179" t="s">
        <v>216</v>
      </c>
      <c r="E1365" s="181">
        <v>0.5</v>
      </c>
    </row>
    <row r="1366" spans="2:5" ht="12.75" x14ac:dyDescent="0.2">
      <c r="B1366" s="179" t="s">
        <v>1649</v>
      </c>
      <c r="C1366" s="180" t="s">
        <v>1365</v>
      </c>
      <c r="D1366" s="179" t="s">
        <v>216</v>
      </c>
      <c r="E1366" s="181">
        <v>0.5</v>
      </c>
    </row>
    <row r="1367" spans="2:5" ht="12.75" x14ac:dyDescent="0.2">
      <c r="B1367" s="179" t="s">
        <v>1650</v>
      </c>
      <c r="C1367" s="180" t="s">
        <v>1365</v>
      </c>
      <c r="D1367" s="179" t="s">
        <v>216</v>
      </c>
      <c r="E1367" s="181">
        <v>0.5</v>
      </c>
    </row>
    <row r="1368" spans="2:5" ht="12.75" x14ac:dyDescent="0.2">
      <c r="B1368" s="179" t="s">
        <v>1651</v>
      </c>
      <c r="C1368" s="180" t="s">
        <v>1365</v>
      </c>
      <c r="D1368" s="179" t="s">
        <v>216</v>
      </c>
      <c r="E1368" s="181">
        <v>0.5</v>
      </c>
    </row>
    <row r="1369" spans="2:5" ht="12.75" x14ac:dyDescent="0.2">
      <c r="B1369" s="179" t="s">
        <v>1652</v>
      </c>
      <c r="C1369" s="180" t="s">
        <v>1365</v>
      </c>
      <c r="D1369" s="179" t="s">
        <v>216</v>
      </c>
      <c r="E1369" s="181">
        <v>0.5</v>
      </c>
    </row>
    <row r="1370" spans="2:5" ht="12.75" x14ac:dyDescent="0.2">
      <c r="B1370" s="179" t="s">
        <v>1653</v>
      </c>
      <c r="C1370" s="180" t="s">
        <v>1365</v>
      </c>
      <c r="D1370" s="179" t="s">
        <v>216</v>
      </c>
      <c r="E1370" s="181">
        <v>0.5</v>
      </c>
    </row>
    <row r="1371" spans="2:5" ht="12.75" x14ac:dyDescent="0.2">
      <c r="B1371" s="179" t="s">
        <v>1654</v>
      </c>
      <c r="C1371" s="180" t="s">
        <v>1365</v>
      </c>
      <c r="D1371" s="179" t="s">
        <v>216</v>
      </c>
      <c r="E1371" s="181">
        <v>0.5</v>
      </c>
    </row>
    <row r="1372" spans="2:5" ht="12.75" x14ac:dyDescent="0.2">
      <c r="B1372" s="179" t="s">
        <v>1655</v>
      </c>
      <c r="C1372" s="180" t="s">
        <v>1365</v>
      </c>
      <c r="D1372" s="179" t="s">
        <v>216</v>
      </c>
      <c r="E1372" s="181">
        <v>0.5</v>
      </c>
    </row>
    <row r="1373" spans="2:5" ht="12.75" x14ac:dyDescent="0.2">
      <c r="B1373" s="179" t="s">
        <v>1656</v>
      </c>
      <c r="C1373" s="180" t="s">
        <v>1365</v>
      </c>
      <c r="D1373" s="179" t="s">
        <v>216</v>
      </c>
      <c r="E1373" s="181">
        <v>0.5</v>
      </c>
    </row>
    <row r="1374" spans="2:5" ht="12.75" x14ac:dyDescent="0.2">
      <c r="B1374" s="179" t="s">
        <v>1657</v>
      </c>
      <c r="C1374" s="180" t="s">
        <v>1365</v>
      </c>
      <c r="D1374" s="179" t="s">
        <v>216</v>
      </c>
      <c r="E1374" s="181">
        <v>0.5</v>
      </c>
    </row>
    <row r="1375" spans="2:5" ht="12.75" x14ac:dyDescent="0.2">
      <c r="B1375" s="179" t="s">
        <v>1658</v>
      </c>
      <c r="C1375" s="180" t="s">
        <v>1365</v>
      </c>
      <c r="D1375" s="179" t="s">
        <v>216</v>
      </c>
      <c r="E1375" s="181">
        <v>0.5</v>
      </c>
    </row>
    <row r="1376" spans="2:5" ht="12.75" x14ac:dyDescent="0.2">
      <c r="B1376" s="179" t="s">
        <v>1659</v>
      </c>
      <c r="C1376" s="180" t="s">
        <v>1365</v>
      </c>
      <c r="D1376" s="179" t="s">
        <v>216</v>
      </c>
      <c r="E1376" s="181">
        <v>0.5</v>
      </c>
    </row>
    <row r="1377" spans="2:5" ht="12.75" x14ac:dyDescent="0.2">
      <c r="B1377" s="179" t="s">
        <v>1660</v>
      </c>
      <c r="C1377" s="180" t="s">
        <v>1365</v>
      </c>
      <c r="D1377" s="179" t="s">
        <v>216</v>
      </c>
      <c r="E1377" s="181">
        <v>0.5</v>
      </c>
    </row>
    <row r="1378" spans="2:5" ht="12.75" x14ac:dyDescent="0.2">
      <c r="B1378" s="179" t="s">
        <v>1661</v>
      </c>
      <c r="C1378" s="180" t="s">
        <v>1365</v>
      </c>
      <c r="D1378" s="179" t="s">
        <v>216</v>
      </c>
      <c r="E1378" s="181">
        <v>0.5</v>
      </c>
    </row>
    <row r="1379" spans="2:5" ht="12.75" x14ac:dyDescent="0.2">
      <c r="B1379" s="179" t="s">
        <v>1662</v>
      </c>
      <c r="C1379" s="180" t="s">
        <v>1365</v>
      </c>
      <c r="D1379" s="179" t="s">
        <v>216</v>
      </c>
      <c r="E1379" s="181">
        <v>0.5</v>
      </c>
    </row>
    <row r="1380" spans="2:5" ht="12.75" x14ac:dyDescent="0.2">
      <c r="B1380" s="179" t="s">
        <v>1663</v>
      </c>
      <c r="C1380" s="180" t="s">
        <v>1365</v>
      </c>
      <c r="D1380" s="179" t="s">
        <v>216</v>
      </c>
      <c r="E1380" s="181">
        <v>0.5</v>
      </c>
    </row>
    <row r="1381" spans="2:5" ht="12.75" x14ac:dyDescent="0.2">
      <c r="B1381" s="179" t="s">
        <v>1664</v>
      </c>
      <c r="C1381" s="180" t="s">
        <v>1365</v>
      </c>
      <c r="D1381" s="179" t="s">
        <v>216</v>
      </c>
      <c r="E1381" s="181">
        <v>0.5</v>
      </c>
    </row>
    <row r="1382" spans="2:5" ht="12.75" x14ac:dyDescent="0.2">
      <c r="B1382" s="179" t="s">
        <v>1665</v>
      </c>
      <c r="C1382" s="180" t="s">
        <v>1365</v>
      </c>
      <c r="D1382" s="179" t="s">
        <v>216</v>
      </c>
      <c r="E1382" s="181">
        <v>0.5</v>
      </c>
    </row>
    <row r="1383" spans="2:5" ht="12.75" x14ac:dyDescent="0.2">
      <c r="B1383" s="179" t="s">
        <v>1666</v>
      </c>
      <c r="C1383" s="180" t="s">
        <v>1365</v>
      </c>
      <c r="D1383" s="179" t="s">
        <v>216</v>
      </c>
      <c r="E1383" s="181">
        <v>0.5</v>
      </c>
    </row>
    <row r="1384" spans="2:5" ht="12.75" x14ac:dyDescent="0.2">
      <c r="B1384" s="179" t="s">
        <v>1667</v>
      </c>
      <c r="C1384" s="180" t="s">
        <v>1365</v>
      </c>
      <c r="D1384" s="179" t="s">
        <v>216</v>
      </c>
      <c r="E1384" s="181">
        <v>0.5</v>
      </c>
    </row>
    <row r="1385" spans="2:5" ht="12.75" x14ac:dyDescent="0.2">
      <c r="B1385" s="179" t="s">
        <v>1668</v>
      </c>
      <c r="C1385" s="180" t="s">
        <v>1365</v>
      </c>
      <c r="D1385" s="179" t="s">
        <v>216</v>
      </c>
      <c r="E1385" s="181">
        <v>0.5</v>
      </c>
    </row>
    <row r="1386" spans="2:5" ht="12.75" x14ac:dyDescent="0.2">
      <c r="B1386" s="179" t="s">
        <v>1669</v>
      </c>
      <c r="C1386" s="180" t="s">
        <v>1365</v>
      </c>
      <c r="D1386" s="179" t="s">
        <v>216</v>
      </c>
      <c r="E1386" s="181">
        <v>0.5</v>
      </c>
    </row>
    <row r="1387" spans="2:5" ht="12.75" x14ac:dyDescent="0.2">
      <c r="B1387" s="179" t="s">
        <v>1670</v>
      </c>
      <c r="C1387" s="180" t="s">
        <v>1365</v>
      </c>
      <c r="D1387" s="179" t="s">
        <v>216</v>
      </c>
      <c r="E1387" s="181">
        <v>0.5</v>
      </c>
    </row>
    <row r="1388" spans="2:5" ht="12.75" x14ac:dyDescent="0.2">
      <c r="B1388" s="179" t="s">
        <v>1671</v>
      </c>
      <c r="C1388" s="180" t="s">
        <v>1365</v>
      </c>
      <c r="D1388" s="179" t="s">
        <v>216</v>
      </c>
      <c r="E1388" s="181">
        <v>0.5</v>
      </c>
    </row>
    <row r="1389" spans="2:5" ht="12.75" x14ac:dyDescent="0.2">
      <c r="B1389" s="179" t="s">
        <v>1672</v>
      </c>
      <c r="C1389" s="180" t="s">
        <v>1365</v>
      </c>
      <c r="D1389" s="179" t="s">
        <v>216</v>
      </c>
      <c r="E1389" s="181">
        <v>0.5</v>
      </c>
    </row>
    <row r="1390" spans="2:5" ht="12.75" x14ac:dyDescent="0.2">
      <c r="B1390" s="179" t="s">
        <v>1673</v>
      </c>
      <c r="C1390" s="180" t="s">
        <v>1365</v>
      </c>
      <c r="D1390" s="179" t="s">
        <v>216</v>
      </c>
      <c r="E1390" s="181">
        <v>0.5</v>
      </c>
    </row>
    <row r="1391" spans="2:5" ht="12.75" x14ac:dyDescent="0.2">
      <c r="B1391" s="179" t="s">
        <v>1674</v>
      </c>
      <c r="C1391" s="180" t="s">
        <v>1365</v>
      </c>
      <c r="D1391" s="179" t="s">
        <v>216</v>
      </c>
      <c r="E1391" s="181">
        <v>0.5</v>
      </c>
    </row>
    <row r="1392" spans="2:5" ht="12.75" x14ac:dyDescent="0.2">
      <c r="B1392" s="179" t="s">
        <v>1675</v>
      </c>
      <c r="C1392" s="180" t="s">
        <v>1365</v>
      </c>
      <c r="D1392" s="179" t="s">
        <v>216</v>
      </c>
      <c r="E1392" s="181">
        <v>0.5</v>
      </c>
    </row>
    <row r="1393" spans="2:5" ht="12.75" x14ac:dyDescent="0.2">
      <c r="B1393" s="179" t="s">
        <v>1676</v>
      </c>
      <c r="C1393" s="180" t="s">
        <v>1365</v>
      </c>
      <c r="D1393" s="179" t="s">
        <v>216</v>
      </c>
      <c r="E1393" s="181">
        <v>0.5</v>
      </c>
    </row>
    <row r="1394" spans="2:5" ht="12.75" x14ac:dyDescent="0.2">
      <c r="B1394" s="179" t="s">
        <v>1677</v>
      </c>
      <c r="C1394" s="180" t="s">
        <v>1365</v>
      </c>
      <c r="D1394" s="179" t="s">
        <v>216</v>
      </c>
      <c r="E1394" s="181">
        <v>0.5</v>
      </c>
    </row>
    <row r="1395" spans="2:5" ht="12.75" x14ac:dyDescent="0.2">
      <c r="B1395" s="179" t="s">
        <v>1678</v>
      </c>
      <c r="C1395" s="180" t="s">
        <v>1365</v>
      </c>
      <c r="D1395" s="179" t="s">
        <v>216</v>
      </c>
      <c r="E1395" s="181">
        <v>0.5</v>
      </c>
    </row>
    <row r="1396" spans="2:5" ht="12.75" x14ac:dyDescent="0.2">
      <c r="B1396" s="179" t="s">
        <v>1679</v>
      </c>
      <c r="C1396" s="180" t="s">
        <v>1365</v>
      </c>
      <c r="D1396" s="179" t="s">
        <v>216</v>
      </c>
      <c r="E1396" s="181">
        <v>0.5</v>
      </c>
    </row>
    <row r="1397" spans="2:5" ht="12.75" x14ac:dyDescent="0.2">
      <c r="B1397" s="179" t="s">
        <v>1680</v>
      </c>
      <c r="C1397" s="180" t="s">
        <v>1365</v>
      </c>
      <c r="D1397" s="179" t="s">
        <v>216</v>
      </c>
      <c r="E1397" s="181">
        <v>0.5</v>
      </c>
    </row>
    <row r="1398" spans="2:5" ht="12.75" x14ac:dyDescent="0.2">
      <c r="B1398" s="179" t="s">
        <v>1681</v>
      </c>
      <c r="C1398" s="180" t="s">
        <v>1365</v>
      </c>
      <c r="D1398" s="179" t="s">
        <v>216</v>
      </c>
      <c r="E1398" s="181">
        <v>0.5</v>
      </c>
    </row>
    <row r="1399" spans="2:5" ht="12.75" x14ac:dyDescent="0.2">
      <c r="B1399" s="179" t="s">
        <v>1682</v>
      </c>
      <c r="C1399" s="180" t="s">
        <v>1365</v>
      </c>
      <c r="D1399" s="179" t="s">
        <v>216</v>
      </c>
      <c r="E1399" s="181">
        <v>0.5</v>
      </c>
    </row>
    <row r="1400" spans="2:5" ht="12.75" x14ac:dyDescent="0.2">
      <c r="B1400" s="179" t="s">
        <v>1683</v>
      </c>
      <c r="C1400" s="180" t="s">
        <v>1365</v>
      </c>
      <c r="D1400" s="179" t="s">
        <v>216</v>
      </c>
      <c r="E1400" s="181">
        <v>0.5</v>
      </c>
    </row>
    <row r="1401" spans="2:5" ht="12.75" x14ac:dyDescent="0.2">
      <c r="B1401" s="179" t="s">
        <v>1684</v>
      </c>
      <c r="C1401" s="180" t="s">
        <v>1365</v>
      </c>
      <c r="D1401" s="179" t="s">
        <v>216</v>
      </c>
      <c r="E1401" s="181">
        <v>0.5</v>
      </c>
    </row>
    <row r="1402" spans="2:5" ht="12.75" x14ac:dyDescent="0.2">
      <c r="B1402" s="179" t="s">
        <v>1685</v>
      </c>
      <c r="C1402" s="180" t="s">
        <v>1365</v>
      </c>
      <c r="D1402" s="179" t="s">
        <v>216</v>
      </c>
      <c r="E1402" s="181">
        <v>0.5</v>
      </c>
    </row>
    <row r="1403" spans="2:5" ht="12.75" x14ac:dyDescent="0.2">
      <c r="B1403" s="179" t="s">
        <v>1686</v>
      </c>
      <c r="C1403" s="180" t="s">
        <v>1365</v>
      </c>
      <c r="D1403" s="179" t="s">
        <v>216</v>
      </c>
      <c r="E1403" s="181">
        <v>0.5</v>
      </c>
    </row>
    <row r="1404" spans="2:5" ht="12.75" x14ac:dyDescent="0.2">
      <c r="B1404" s="179" t="s">
        <v>1687</v>
      </c>
      <c r="C1404" s="180" t="s">
        <v>1365</v>
      </c>
      <c r="D1404" s="179" t="s">
        <v>216</v>
      </c>
      <c r="E1404" s="181">
        <v>0.5</v>
      </c>
    </row>
    <row r="1405" spans="2:5" ht="12.75" x14ac:dyDescent="0.2">
      <c r="B1405" s="179" t="s">
        <v>1688</v>
      </c>
      <c r="C1405" s="180" t="s">
        <v>1365</v>
      </c>
      <c r="D1405" s="179" t="s">
        <v>216</v>
      </c>
      <c r="E1405" s="181">
        <v>0.5</v>
      </c>
    </row>
    <row r="1406" spans="2:5" ht="12.75" x14ac:dyDescent="0.2">
      <c r="B1406" s="179" t="s">
        <v>1689</v>
      </c>
      <c r="C1406" s="180" t="s">
        <v>1365</v>
      </c>
      <c r="D1406" s="179" t="s">
        <v>216</v>
      </c>
      <c r="E1406" s="181">
        <v>0.5</v>
      </c>
    </row>
    <row r="1407" spans="2:5" ht="12.75" x14ac:dyDescent="0.2">
      <c r="B1407" s="179" t="s">
        <v>1690</v>
      </c>
      <c r="C1407" s="180" t="s">
        <v>1365</v>
      </c>
      <c r="D1407" s="179" t="s">
        <v>216</v>
      </c>
      <c r="E1407" s="181">
        <v>0.5</v>
      </c>
    </row>
    <row r="1408" spans="2:5" ht="12.75" x14ac:dyDescent="0.2">
      <c r="B1408" s="179" t="s">
        <v>1691</v>
      </c>
      <c r="C1408" s="180" t="s">
        <v>1365</v>
      </c>
      <c r="D1408" s="179" t="s">
        <v>216</v>
      </c>
      <c r="E1408" s="181">
        <v>0.5</v>
      </c>
    </row>
    <row r="1409" spans="2:5" ht="12.75" x14ac:dyDescent="0.2">
      <c r="B1409" s="179" t="s">
        <v>1692</v>
      </c>
      <c r="C1409" s="180" t="s">
        <v>1365</v>
      </c>
      <c r="D1409" s="179" t="s">
        <v>216</v>
      </c>
      <c r="E1409" s="181">
        <v>0.5</v>
      </c>
    </row>
    <row r="1410" spans="2:5" ht="12.75" x14ac:dyDescent="0.2">
      <c r="B1410" s="179" t="s">
        <v>1693</v>
      </c>
      <c r="C1410" s="180" t="s">
        <v>1365</v>
      </c>
      <c r="D1410" s="179" t="s">
        <v>216</v>
      </c>
      <c r="E1410" s="181">
        <v>0.5</v>
      </c>
    </row>
    <row r="1411" spans="2:5" ht="12.75" x14ac:dyDescent="0.2">
      <c r="B1411" s="179" t="s">
        <v>1694</v>
      </c>
      <c r="C1411" s="180" t="s">
        <v>1365</v>
      </c>
      <c r="D1411" s="179" t="s">
        <v>216</v>
      </c>
      <c r="E1411" s="181">
        <v>0.5</v>
      </c>
    </row>
    <row r="1412" spans="2:5" ht="12.75" x14ac:dyDescent="0.2">
      <c r="B1412" s="179" t="s">
        <v>1695</v>
      </c>
      <c r="C1412" s="180" t="s">
        <v>1365</v>
      </c>
      <c r="D1412" s="179" t="s">
        <v>216</v>
      </c>
      <c r="E1412" s="181">
        <v>0.5</v>
      </c>
    </row>
    <row r="1413" spans="2:5" ht="12.75" x14ac:dyDescent="0.2">
      <c r="B1413" s="179" t="s">
        <v>1696</v>
      </c>
      <c r="C1413" s="180" t="s">
        <v>1365</v>
      </c>
      <c r="D1413" s="179" t="s">
        <v>216</v>
      </c>
      <c r="E1413" s="181">
        <v>0.5</v>
      </c>
    </row>
    <row r="1414" spans="2:5" ht="12.75" x14ac:dyDescent="0.2">
      <c r="B1414" s="179" t="s">
        <v>1697</v>
      </c>
      <c r="C1414" s="180" t="s">
        <v>1365</v>
      </c>
      <c r="D1414" s="179" t="s">
        <v>216</v>
      </c>
      <c r="E1414" s="181">
        <v>0.5</v>
      </c>
    </row>
    <row r="1415" spans="2:5" ht="12.75" x14ac:dyDescent="0.2">
      <c r="B1415" s="179" t="s">
        <v>1698</v>
      </c>
      <c r="C1415" s="180" t="s">
        <v>1365</v>
      </c>
      <c r="D1415" s="179" t="s">
        <v>216</v>
      </c>
      <c r="E1415" s="181">
        <v>0.5</v>
      </c>
    </row>
    <row r="1416" spans="2:5" ht="12.75" x14ac:dyDescent="0.2">
      <c r="B1416" s="179" t="s">
        <v>1699</v>
      </c>
      <c r="C1416" s="180" t="s">
        <v>1365</v>
      </c>
      <c r="D1416" s="179" t="s">
        <v>216</v>
      </c>
      <c r="E1416" s="181">
        <v>0.5</v>
      </c>
    </row>
    <row r="1417" spans="2:5" ht="12.75" x14ac:dyDescent="0.2">
      <c r="B1417" s="179" t="s">
        <v>1700</v>
      </c>
      <c r="C1417" s="180" t="s">
        <v>1365</v>
      </c>
      <c r="D1417" s="179" t="s">
        <v>216</v>
      </c>
      <c r="E1417" s="181">
        <v>0.5</v>
      </c>
    </row>
    <row r="1418" spans="2:5" ht="12.75" x14ac:dyDescent="0.2">
      <c r="B1418" s="179" t="s">
        <v>1701</v>
      </c>
      <c r="C1418" s="180" t="s">
        <v>1365</v>
      </c>
      <c r="D1418" s="179" t="s">
        <v>216</v>
      </c>
      <c r="E1418" s="181">
        <v>0.5</v>
      </c>
    </row>
    <row r="1419" spans="2:5" ht="12.75" x14ac:dyDescent="0.2">
      <c r="B1419" s="179" t="s">
        <v>1702</v>
      </c>
      <c r="C1419" s="180" t="s">
        <v>1365</v>
      </c>
      <c r="D1419" s="179" t="s">
        <v>216</v>
      </c>
      <c r="E1419" s="181">
        <v>0.5</v>
      </c>
    </row>
    <row r="1420" spans="2:5" ht="12.75" x14ac:dyDescent="0.2">
      <c r="B1420" s="179" t="s">
        <v>1703</v>
      </c>
      <c r="C1420" s="180" t="s">
        <v>1365</v>
      </c>
      <c r="D1420" s="179" t="s">
        <v>216</v>
      </c>
      <c r="E1420" s="181">
        <v>0.5</v>
      </c>
    </row>
    <row r="1421" spans="2:5" ht="12.75" x14ac:dyDescent="0.2">
      <c r="B1421" s="179" t="s">
        <v>1704</v>
      </c>
      <c r="C1421" s="180" t="s">
        <v>1365</v>
      </c>
      <c r="D1421" s="179" t="s">
        <v>216</v>
      </c>
      <c r="E1421" s="181">
        <v>0.5</v>
      </c>
    </row>
    <row r="1422" spans="2:5" ht="12.75" x14ac:dyDescent="0.2">
      <c r="B1422" s="179" t="s">
        <v>1705</v>
      </c>
      <c r="C1422" s="180" t="s">
        <v>1365</v>
      </c>
      <c r="D1422" s="179" t="s">
        <v>216</v>
      </c>
      <c r="E1422" s="181">
        <v>0.5</v>
      </c>
    </row>
    <row r="1423" spans="2:5" ht="12.75" x14ac:dyDescent="0.2">
      <c r="B1423" s="179" t="s">
        <v>1706</v>
      </c>
      <c r="C1423" s="180" t="s">
        <v>1365</v>
      </c>
      <c r="D1423" s="179" t="s">
        <v>216</v>
      </c>
      <c r="E1423" s="181">
        <v>0.5</v>
      </c>
    </row>
    <row r="1424" spans="2:5" ht="12.75" x14ac:dyDescent="0.2">
      <c r="B1424" s="179" t="s">
        <v>1707</v>
      </c>
      <c r="C1424" s="180" t="s">
        <v>1365</v>
      </c>
      <c r="D1424" s="179" t="s">
        <v>216</v>
      </c>
      <c r="E1424" s="181">
        <v>0.5</v>
      </c>
    </row>
    <row r="1425" spans="2:5" ht="12.75" x14ac:dyDescent="0.2">
      <c r="B1425" s="179" t="s">
        <v>1708</v>
      </c>
      <c r="C1425" s="180" t="s">
        <v>1365</v>
      </c>
      <c r="D1425" s="179" t="s">
        <v>216</v>
      </c>
      <c r="E1425" s="181">
        <v>0.5</v>
      </c>
    </row>
    <row r="1426" spans="2:5" ht="12.75" x14ac:dyDescent="0.2">
      <c r="B1426" s="179" t="s">
        <v>1709</v>
      </c>
      <c r="C1426" s="180" t="s">
        <v>1365</v>
      </c>
      <c r="D1426" s="179" t="s">
        <v>216</v>
      </c>
      <c r="E1426" s="181">
        <v>0.5</v>
      </c>
    </row>
    <row r="1427" spans="2:5" ht="12.75" x14ac:dyDescent="0.2">
      <c r="B1427" s="179" t="s">
        <v>1710</v>
      </c>
      <c r="C1427" s="180" t="s">
        <v>1365</v>
      </c>
      <c r="D1427" s="179" t="s">
        <v>216</v>
      </c>
      <c r="E1427" s="181">
        <v>0.5</v>
      </c>
    </row>
    <row r="1428" spans="2:5" ht="12.75" x14ac:dyDescent="0.2">
      <c r="B1428" s="179" t="s">
        <v>1711</v>
      </c>
      <c r="C1428" s="180" t="s">
        <v>1365</v>
      </c>
      <c r="D1428" s="179" t="s">
        <v>216</v>
      </c>
      <c r="E1428" s="181">
        <v>0.5</v>
      </c>
    </row>
    <row r="1429" spans="2:5" ht="12.75" x14ac:dyDescent="0.2">
      <c r="B1429" s="179" t="s">
        <v>1712</v>
      </c>
      <c r="C1429" s="180" t="s">
        <v>1365</v>
      </c>
      <c r="D1429" s="179" t="s">
        <v>216</v>
      </c>
      <c r="E1429" s="181">
        <v>0.5</v>
      </c>
    </row>
    <row r="1430" spans="2:5" ht="12.75" x14ac:dyDescent="0.2">
      <c r="B1430" s="179" t="s">
        <v>1713</v>
      </c>
      <c r="C1430" s="180" t="s">
        <v>1365</v>
      </c>
      <c r="D1430" s="179" t="s">
        <v>216</v>
      </c>
      <c r="E1430" s="181">
        <v>0.5</v>
      </c>
    </row>
    <row r="1431" spans="2:5" ht="12.75" x14ac:dyDescent="0.2">
      <c r="B1431" s="179" t="s">
        <v>1714</v>
      </c>
      <c r="C1431" s="180" t="s">
        <v>1365</v>
      </c>
      <c r="D1431" s="179" t="s">
        <v>216</v>
      </c>
      <c r="E1431" s="181">
        <v>0.5</v>
      </c>
    </row>
    <row r="1432" spans="2:5" ht="12.75" x14ac:dyDescent="0.2">
      <c r="B1432" s="179" t="s">
        <v>1715</v>
      </c>
      <c r="C1432" s="180" t="s">
        <v>1365</v>
      </c>
      <c r="D1432" s="179" t="s">
        <v>216</v>
      </c>
      <c r="E1432" s="181">
        <v>0.5</v>
      </c>
    </row>
    <row r="1433" spans="2:5" ht="12.75" x14ac:dyDescent="0.2">
      <c r="B1433" s="179" t="s">
        <v>1716</v>
      </c>
      <c r="C1433" s="180" t="s">
        <v>1365</v>
      </c>
      <c r="D1433" s="179" t="s">
        <v>216</v>
      </c>
      <c r="E1433" s="181">
        <v>0.5</v>
      </c>
    </row>
    <row r="1434" spans="2:5" ht="12.75" x14ac:dyDescent="0.2">
      <c r="B1434" s="179" t="s">
        <v>1717</v>
      </c>
      <c r="C1434" s="180" t="s">
        <v>1365</v>
      </c>
      <c r="D1434" s="179" t="s">
        <v>216</v>
      </c>
      <c r="E1434" s="181">
        <v>0.5</v>
      </c>
    </row>
    <row r="1435" spans="2:5" ht="12.75" x14ac:dyDescent="0.2">
      <c r="B1435" s="179" t="s">
        <v>1718</v>
      </c>
      <c r="C1435" s="180" t="s">
        <v>1365</v>
      </c>
      <c r="D1435" s="179" t="s">
        <v>216</v>
      </c>
      <c r="E1435" s="181">
        <v>0.5</v>
      </c>
    </row>
    <row r="1436" spans="2:5" ht="12.75" x14ac:dyDescent="0.2">
      <c r="B1436" s="179" t="s">
        <v>1719</v>
      </c>
      <c r="C1436" s="180" t="s">
        <v>1365</v>
      </c>
      <c r="D1436" s="179" t="s">
        <v>216</v>
      </c>
      <c r="E1436" s="181">
        <v>0.5</v>
      </c>
    </row>
    <row r="1437" spans="2:5" ht="12.75" x14ac:dyDescent="0.2">
      <c r="B1437" s="179" t="s">
        <v>1720</v>
      </c>
      <c r="C1437" s="180" t="s">
        <v>1365</v>
      </c>
      <c r="D1437" s="179" t="s">
        <v>216</v>
      </c>
      <c r="E1437" s="181">
        <v>0.5</v>
      </c>
    </row>
    <row r="1438" spans="2:5" ht="12.75" x14ac:dyDescent="0.2">
      <c r="B1438" s="179" t="s">
        <v>1721</v>
      </c>
      <c r="C1438" s="180" t="s">
        <v>1365</v>
      </c>
      <c r="D1438" s="179" t="s">
        <v>216</v>
      </c>
      <c r="E1438" s="181">
        <v>0.5</v>
      </c>
    </row>
    <row r="1439" spans="2:5" ht="12.75" x14ac:dyDescent="0.2">
      <c r="B1439" s="179" t="s">
        <v>1722</v>
      </c>
      <c r="C1439" s="180" t="s">
        <v>1365</v>
      </c>
      <c r="D1439" s="179" t="s">
        <v>216</v>
      </c>
      <c r="E1439" s="181">
        <v>0.5</v>
      </c>
    </row>
    <row r="1440" spans="2:5" ht="12.75" x14ac:dyDescent="0.2">
      <c r="B1440" s="179" t="s">
        <v>1723</v>
      </c>
      <c r="C1440" s="180" t="s">
        <v>1365</v>
      </c>
      <c r="D1440" s="179" t="s">
        <v>216</v>
      </c>
      <c r="E1440" s="181">
        <v>0.5</v>
      </c>
    </row>
    <row r="1441" spans="2:5" ht="12.75" x14ac:dyDescent="0.2">
      <c r="B1441" s="179" t="s">
        <v>1724</v>
      </c>
      <c r="C1441" s="180" t="s">
        <v>1365</v>
      </c>
      <c r="D1441" s="179" t="s">
        <v>216</v>
      </c>
      <c r="E1441" s="181">
        <v>0.5</v>
      </c>
    </row>
    <row r="1442" spans="2:5" ht="12.75" x14ac:dyDescent="0.2">
      <c r="B1442" s="179" t="s">
        <v>1725</v>
      </c>
      <c r="C1442" s="180" t="s">
        <v>1365</v>
      </c>
      <c r="D1442" s="179" t="s">
        <v>216</v>
      </c>
      <c r="E1442" s="181">
        <v>0.5</v>
      </c>
    </row>
    <row r="1443" spans="2:5" ht="12.75" x14ac:dyDescent="0.2">
      <c r="B1443" s="179" t="s">
        <v>1726</v>
      </c>
      <c r="C1443" s="180" t="s">
        <v>1365</v>
      </c>
      <c r="D1443" s="179" t="s">
        <v>216</v>
      </c>
      <c r="E1443" s="181">
        <v>0.5</v>
      </c>
    </row>
    <row r="1444" spans="2:5" ht="12.75" x14ac:dyDescent="0.2">
      <c r="B1444" s="179" t="s">
        <v>1727</v>
      </c>
      <c r="C1444" s="180" t="s">
        <v>1365</v>
      </c>
      <c r="D1444" s="179" t="s">
        <v>216</v>
      </c>
      <c r="E1444" s="181">
        <v>0.5</v>
      </c>
    </row>
    <row r="1445" spans="2:5" ht="12.75" x14ac:dyDescent="0.2">
      <c r="B1445" s="179" t="s">
        <v>1728</v>
      </c>
      <c r="C1445" s="180" t="s">
        <v>1365</v>
      </c>
      <c r="D1445" s="179" t="s">
        <v>216</v>
      </c>
      <c r="E1445" s="181">
        <v>0.5</v>
      </c>
    </row>
    <row r="1446" spans="2:5" ht="12.75" x14ac:dyDescent="0.2">
      <c r="B1446" s="179" t="s">
        <v>1729</v>
      </c>
      <c r="C1446" s="180" t="s">
        <v>1365</v>
      </c>
      <c r="D1446" s="179" t="s">
        <v>216</v>
      </c>
      <c r="E1446" s="181">
        <v>0.5</v>
      </c>
    </row>
    <row r="1447" spans="2:5" ht="12.75" x14ac:dyDescent="0.2">
      <c r="B1447" s="179" t="s">
        <v>1730</v>
      </c>
      <c r="C1447" s="180" t="s">
        <v>1365</v>
      </c>
      <c r="D1447" s="179" t="s">
        <v>216</v>
      </c>
      <c r="E1447" s="181">
        <v>0.5</v>
      </c>
    </row>
    <row r="1448" spans="2:5" ht="12.75" x14ac:dyDescent="0.2">
      <c r="B1448" s="179" t="s">
        <v>1731</v>
      </c>
      <c r="C1448" s="180" t="s">
        <v>1365</v>
      </c>
      <c r="D1448" s="179" t="s">
        <v>216</v>
      </c>
      <c r="E1448" s="181">
        <v>0.5</v>
      </c>
    </row>
    <row r="1449" spans="2:5" ht="12.75" x14ac:dyDescent="0.2">
      <c r="B1449" s="179" t="s">
        <v>1732</v>
      </c>
      <c r="C1449" s="180" t="s">
        <v>1365</v>
      </c>
      <c r="D1449" s="179" t="s">
        <v>216</v>
      </c>
      <c r="E1449" s="181">
        <v>0.5</v>
      </c>
    </row>
    <row r="1450" spans="2:5" ht="12.75" x14ac:dyDescent="0.2">
      <c r="B1450" s="179" t="s">
        <v>1733</v>
      </c>
      <c r="C1450" s="180" t="s">
        <v>1365</v>
      </c>
      <c r="D1450" s="179" t="s">
        <v>216</v>
      </c>
      <c r="E1450" s="181">
        <v>0.5</v>
      </c>
    </row>
    <row r="1451" spans="2:5" ht="12.75" x14ac:dyDescent="0.2">
      <c r="B1451" s="179" t="s">
        <v>1734</v>
      </c>
      <c r="C1451" s="180" t="s">
        <v>1365</v>
      </c>
      <c r="D1451" s="179" t="s">
        <v>216</v>
      </c>
      <c r="E1451" s="181">
        <v>0.5</v>
      </c>
    </row>
    <row r="1452" spans="2:5" ht="12.75" x14ac:dyDescent="0.2">
      <c r="B1452" s="179" t="s">
        <v>1735</v>
      </c>
      <c r="C1452" s="180" t="s">
        <v>1365</v>
      </c>
      <c r="D1452" s="179" t="s">
        <v>216</v>
      </c>
      <c r="E1452" s="181">
        <v>0.5</v>
      </c>
    </row>
    <row r="1453" spans="2:5" ht="12.75" x14ac:dyDescent="0.2">
      <c r="B1453" s="179" t="s">
        <v>1736</v>
      </c>
      <c r="C1453" s="180" t="s">
        <v>1365</v>
      </c>
      <c r="D1453" s="179" t="s">
        <v>216</v>
      </c>
      <c r="E1453" s="181">
        <v>0.5</v>
      </c>
    </row>
    <row r="1454" spans="2:5" ht="12.75" x14ac:dyDescent="0.2">
      <c r="B1454" s="179" t="s">
        <v>1737</v>
      </c>
      <c r="C1454" s="180" t="s">
        <v>1365</v>
      </c>
      <c r="D1454" s="179" t="s">
        <v>216</v>
      </c>
      <c r="E1454" s="181">
        <v>0.5</v>
      </c>
    </row>
    <row r="1455" spans="2:5" ht="12.75" x14ac:dyDescent="0.2">
      <c r="B1455" s="179" t="s">
        <v>1738</v>
      </c>
      <c r="C1455" s="180" t="s">
        <v>1365</v>
      </c>
      <c r="D1455" s="179" t="s">
        <v>216</v>
      </c>
      <c r="E1455" s="181">
        <v>0.5</v>
      </c>
    </row>
    <row r="1456" spans="2:5" ht="12.75" x14ac:dyDescent="0.2">
      <c r="B1456" s="179" t="s">
        <v>1739</v>
      </c>
      <c r="C1456" s="180" t="s">
        <v>1365</v>
      </c>
      <c r="D1456" s="179" t="s">
        <v>216</v>
      </c>
      <c r="E1456" s="181">
        <v>0.5</v>
      </c>
    </row>
    <row r="1457" spans="2:5" ht="12.75" x14ac:dyDescent="0.2">
      <c r="B1457" s="179" t="s">
        <v>1740</v>
      </c>
      <c r="C1457" s="180" t="s">
        <v>1365</v>
      </c>
      <c r="D1457" s="179" t="s">
        <v>216</v>
      </c>
      <c r="E1457" s="181">
        <v>0.5</v>
      </c>
    </row>
    <row r="1458" spans="2:5" ht="12.75" x14ac:dyDescent="0.2">
      <c r="B1458" s="179" t="s">
        <v>1741</v>
      </c>
      <c r="C1458" s="180" t="s">
        <v>1365</v>
      </c>
      <c r="D1458" s="179" t="s">
        <v>216</v>
      </c>
      <c r="E1458" s="181">
        <v>0.5</v>
      </c>
    </row>
    <row r="1459" spans="2:5" ht="12.75" x14ac:dyDescent="0.2">
      <c r="B1459" s="179" t="s">
        <v>1742</v>
      </c>
      <c r="C1459" s="180" t="s">
        <v>1365</v>
      </c>
      <c r="D1459" s="179" t="s">
        <v>216</v>
      </c>
      <c r="E1459" s="181">
        <v>0.5</v>
      </c>
    </row>
    <row r="1460" spans="2:5" ht="12.75" x14ac:dyDescent="0.2">
      <c r="B1460" s="179" t="s">
        <v>1743</v>
      </c>
      <c r="C1460" s="180" t="s">
        <v>1365</v>
      </c>
      <c r="D1460" s="179" t="s">
        <v>216</v>
      </c>
      <c r="E1460" s="181">
        <v>0.5</v>
      </c>
    </row>
    <row r="1461" spans="2:5" ht="12.75" x14ac:dyDescent="0.2">
      <c r="B1461" s="179" t="s">
        <v>1744</v>
      </c>
      <c r="C1461" s="180" t="s">
        <v>1365</v>
      </c>
      <c r="D1461" s="179" t="s">
        <v>216</v>
      </c>
      <c r="E1461" s="181">
        <v>0.5</v>
      </c>
    </row>
    <row r="1462" spans="2:5" ht="12.75" x14ac:dyDescent="0.2">
      <c r="B1462" s="179" t="s">
        <v>1745</v>
      </c>
      <c r="C1462" s="180" t="s">
        <v>1365</v>
      </c>
      <c r="D1462" s="179" t="s">
        <v>216</v>
      </c>
      <c r="E1462" s="181">
        <v>0.5</v>
      </c>
    </row>
    <row r="1463" spans="2:5" ht="12.75" x14ac:dyDescent="0.2">
      <c r="B1463" s="179" t="s">
        <v>1746</v>
      </c>
      <c r="C1463" s="180" t="s">
        <v>1365</v>
      </c>
      <c r="D1463" s="179" t="s">
        <v>216</v>
      </c>
      <c r="E1463" s="181">
        <v>0.5</v>
      </c>
    </row>
    <row r="1464" spans="2:5" ht="12.75" x14ac:dyDescent="0.2">
      <c r="B1464" s="179" t="s">
        <v>1747</v>
      </c>
      <c r="C1464" s="180" t="s">
        <v>1365</v>
      </c>
      <c r="D1464" s="179" t="s">
        <v>216</v>
      </c>
      <c r="E1464" s="181">
        <v>0.5</v>
      </c>
    </row>
    <row r="1465" spans="2:5" ht="12.75" x14ac:dyDescent="0.2">
      <c r="B1465" s="179" t="s">
        <v>1748</v>
      </c>
      <c r="C1465" s="180" t="s">
        <v>1365</v>
      </c>
      <c r="D1465" s="179" t="s">
        <v>216</v>
      </c>
      <c r="E1465" s="181">
        <v>0.5</v>
      </c>
    </row>
    <row r="1466" spans="2:5" ht="12.75" x14ac:dyDescent="0.2">
      <c r="B1466" s="179" t="s">
        <v>1749</v>
      </c>
      <c r="C1466" s="180" t="s">
        <v>1365</v>
      </c>
      <c r="D1466" s="179" t="s">
        <v>216</v>
      </c>
      <c r="E1466" s="181">
        <v>0.5</v>
      </c>
    </row>
    <row r="1467" spans="2:5" ht="12.75" x14ac:dyDescent="0.2">
      <c r="B1467" s="179" t="s">
        <v>1750</v>
      </c>
      <c r="C1467" s="180" t="s">
        <v>1365</v>
      </c>
      <c r="D1467" s="179" t="s">
        <v>216</v>
      </c>
      <c r="E1467" s="181">
        <v>0.5</v>
      </c>
    </row>
    <row r="1468" spans="2:5" ht="12.75" x14ac:dyDescent="0.2">
      <c r="B1468" s="179" t="s">
        <v>1751</v>
      </c>
      <c r="C1468" s="180" t="s">
        <v>1365</v>
      </c>
      <c r="D1468" s="179" t="s">
        <v>216</v>
      </c>
      <c r="E1468" s="181">
        <v>0.5</v>
      </c>
    </row>
    <row r="1469" spans="2:5" ht="12.75" x14ac:dyDescent="0.2">
      <c r="B1469" s="179" t="s">
        <v>1752</v>
      </c>
      <c r="C1469" s="180" t="s">
        <v>1365</v>
      </c>
      <c r="D1469" s="179" t="s">
        <v>216</v>
      </c>
      <c r="E1469" s="181">
        <v>0.5</v>
      </c>
    </row>
    <row r="1470" spans="2:5" ht="12.75" x14ac:dyDescent="0.2">
      <c r="B1470" s="179" t="s">
        <v>1753</v>
      </c>
      <c r="C1470" s="180" t="s">
        <v>1365</v>
      </c>
      <c r="D1470" s="179" t="s">
        <v>216</v>
      </c>
      <c r="E1470" s="181">
        <v>0.5</v>
      </c>
    </row>
    <row r="1471" spans="2:5" ht="12.75" x14ac:dyDescent="0.2">
      <c r="B1471" s="179" t="s">
        <v>1754</v>
      </c>
      <c r="C1471" s="180" t="s">
        <v>1365</v>
      </c>
      <c r="D1471" s="179" t="s">
        <v>216</v>
      </c>
      <c r="E1471" s="181">
        <v>0.5</v>
      </c>
    </row>
    <row r="1472" spans="2:5" ht="12.75" x14ac:dyDescent="0.2">
      <c r="B1472" s="179" t="s">
        <v>1755</v>
      </c>
      <c r="C1472" s="180" t="s">
        <v>1365</v>
      </c>
      <c r="D1472" s="179" t="s">
        <v>216</v>
      </c>
      <c r="E1472" s="181">
        <v>0.5</v>
      </c>
    </row>
    <row r="1473" spans="2:5" ht="12.75" x14ac:dyDescent="0.2">
      <c r="B1473" s="179" t="s">
        <v>1756</v>
      </c>
      <c r="C1473" s="180" t="s">
        <v>1365</v>
      </c>
      <c r="D1473" s="179" t="s">
        <v>216</v>
      </c>
      <c r="E1473" s="181">
        <v>0.5</v>
      </c>
    </row>
    <row r="1474" spans="2:5" ht="12.75" x14ac:dyDescent="0.2">
      <c r="B1474" s="179" t="s">
        <v>1757</v>
      </c>
      <c r="C1474" s="180" t="s">
        <v>1365</v>
      </c>
      <c r="D1474" s="179" t="s">
        <v>216</v>
      </c>
      <c r="E1474" s="181">
        <v>0.5</v>
      </c>
    </row>
    <row r="1475" spans="2:5" ht="12.75" x14ac:dyDescent="0.2">
      <c r="B1475" s="179" t="s">
        <v>1758</v>
      </c>
      <c r="C1475" s="180" t="s">
        <v>1365</v>
      </c>
      <c r="D1475" s="179" t="s">
        <v>216</v>
      </c>
      <c r="E1475" s="181">
        <v>0.5</v>
      </c>
    </row>
    <row r="1476" spans="2:5" ht="12.75" x14ac:dyDescent="0.2">
      <c r="B1476" s="179" t="s">
        <v>1759</v>
      </c>
      <c r="C1476" s="180" t="s">
        <v>1365</v>
      </c>
      <c r="D1476" s="179" t="s">
        <v>216</v>
      </c>
      <c r="E1476" s="181">
        <v>0.5</v>
      </c>
    </row>
    <row r="1477" spans="2:5" ht="12.75" x14ac:dyDescent="0.2">
      <c r="B1477" s="179" t="s">
        <v>1760</v>
      </c>
      <c r="C1477" s="180" t="s">
        <v>1365</v>
      </c>
      <c r="D1477" s="179" t="s">
        <v>216</v>
      </c>
      <c r="E1477" s="181">
        <v>0.5</v>
      </c>
    </row>
    <row r="1478" spans="2:5" ht="12.75" x14ac:dyDescent="0.2">
      <c r="B1478" s="179" t="s">
        <v>1761</v>
      </c>
      <c r="C1478" s="180" t="s">
        <v>1365</v>
      </c>
      <c r="D1478" s="179" t="s">
        <v>216</v>
      </c>
      <c r="E1478" s="181">
        <v>0.5</v>
      </c>
    </row>
    <row r="1479" spans="2:5" ht="12.75" x14ac:dyDescent="0.2">
      <c r="B1479" s="179" t="s">
        <v>1762</v>
      </c>
      <c r="C1479" s="180" t="s">
        <v>1365</v>
      </c>
      <c r="D1479" s="179" t="s">
        <v>216</v>
      </c>
      <c r="E1479" s="181">
        <v>0.5</v>
      </c>
    </row>
    <row r="1480" spans="2:5" ht="12.75" x14ac:dyDescent="0.2">
      <c r="B1480" s="179" t="s">
        <v>1763</v>
      </c>
      <c r="C1480" s="180" t="s">
        <v>1365</v>
      </c>
      <c r="D1480" s="179" t="s">
        <v>216</v>
      </c>
      <c r="E1480" s="181">
        <v>0.5</v>
      </c>
    </row>
    <row r="1481" spans="2:5" ht="12.75" x14ac:dyDescent="0.2">
      <c r="B1481" s="179" t="s">
        <v>1764</v>
      </c>
      <c r="C1481" s="180" t="s">
        <v>1365</v>
      </c>
      <c r="D1481" s="179" t="s">
        <v>216</v>
      </c>
      <c r="E1481" s="181">
        <v>0.5</v>
      </c>
    </row>
    <row r="1482" spans="2:5" ht="12.75" x14ac:dyDescent="0.2">
      <c r="B1482" s="179" t="s">
        <v>1765</v>
      </c>
      <c r="C1482" s="180" t="s">
        <v>1365</v>
      </c>
      <c r="D1482" s="179" t="s">
        <v>216</v>
      </c>
      <c r="E1482" s="181">
        <v>0.5</v>
      </c>
    </row>
    <row r="1483" spans="2:5" ht="12.75" x14ac:dyDescent="0.2">
      <c r="B1483" s="179" t="s">
        <v>1766</v>
      </c>
      <c r="C1483" s="180" t="s">
        <v>1365</v>
      </c>
      <c r="D1483" s="179" t="s">
        <v>216</v>
      </c>
      <c r="E1483" s="181">
        <v>0.5</v>
      </c>
    </row>
    <row r="1484" spans="2:5" ht="12.75" x14ac:dyDescent="0.2">
      <c r="B1484" s="179" t="s">
        <v>1767</v>
      </c>
      <c r="C1484" s="180" t="s">
        <v>1365</v>
      </c>
      <c r="D1484" s="179" t="s">
        <v>216</v>
      </c>
      <c r="E1484" s="181">
        <v>0.5</v>
      </c>
    </row>
    <row r="1485" spans="2:5" ht="12.75" x14ac:dyDescent="0.2">
      <c r="B1485" s="179" t="s">
        <v>1768</v>
      </c>
      <c r="C1485" s="180" t="s">
        <v>1365</v>
      </c>
      <c r="D1485" s="179" t="s">
        <v>216</v>
      </c>
      <c r="E1485" s="181">
        <v>0.5</v>
      </c>
    </row>
    <row r="1486" spans="2:5" ht="12.75" x14ac:dyDescent="0.2">
      <c r="B1486" s="179" t="s">
        <v>1769</v>
      </c>
      <c r="C1486" s="180" t="s">
        <v>1365</v>
      </c>
      <c r="D1486" s="179" t="s">
        <v>216</v>
      </c>
      <c r="E1486" s="181">
        <v>0.5</v>
      </c>
    </row>
    <row r="1487" spans="2:5" ht="12.75" x14ac:dyDescent="0.2">
      <c r="B1487" s="179" t="s">
        <v>1770</v>
      </c>
      <c r="C1487" s="180" t="s">
        <v>1365</v>
      </c>
      <c r="D1487" s="179" t="s">
        <v>216</v>
      </c>
      <c r="E1487" s="181">
        <v>0.5</v>
      </c>
    </row>
    <row r="1488" spans="2:5" ht="12.75" x14ac:dyDescent="0.2">
      <c r="B1488" s="179" t="s">
        <v>1771</v>
      </c>
      <c r="C1488" s="180" t="s">
        <v>1365</v>
      </c>
      <c r="D1488" s="179" t="s">
        <v>216</v>
      </c>
      <c r="E1488" s="181">
        <v>0.5</v>
      </c>
    </row>
    <row r="1489" spans="2:5" ht="12.75" x14ac:dyDescent="0.2">
      <c r="B1489" s="179" t="s">
        <v>1772</v>
      </c>
      <c r="C1489" s="180" t="s">
        <v>1365</v>
      </c>
      <c r="D1489" s="179" t="s">
        <v>216</v>
      </c>
      <c r="E1489" s="181">
        <v>0.5</v>
      </c>
    </row>
    <row r="1490" spans="2:5" ht="12.75" x14ac:dyDescent="0.2">
      <c r="B1490" s="179" t="s">
        <v>1773</v>
      </c>
      <c r="C1490" s="180" t="s">
        <v>1365</v>
      </c>
      <c r="D1490" s="179" t="s">
        <v>216</v>
      </c>
      <c r="E1490" s="181">
        <v>0.5</v>
      </c>
    </row>
    <row r="1491" spans="2:5" ht="12.75" x14ac:dyDescent="0.2">
      <c r="B1491" s="179" t="s">
        <v>1774</v>
      </c>
      <c r="C1491" s="180" t="s">
        <v>1365</v>
      </c>
      <c r="D1491" s="179" t="s">
        <v>216</v>
      </c>
      <c r="E1491" s="181">
        <v>0.5</v>
      </c>
    </row>
    <row r="1492" spans="2:5" ht="12.75" x14ac:dyDescent="0.2">
      <c r="B1492" s="179" t="s">
        <v>1775</v>
      </c>
      <c r="C1492" s="180" t="s">
        <v>1365</v>
      </c>
      <c r="D1492" s="179" t="s">
        <v>216</v>
      </c>
      <c r="E1492" s="181">
        <v>0.5</v>
      </c>
    </row>
    <row r="1493" spans="2:5" ht="12.75" x14ac:dyDescent="0.2">
      <c r="B1493" s="179" t="s">
        <v>1776</v>
      </c>
      <c r="C1493" s="180" t="s">
        <v>1365</v>
      </c>
      <c r="D1493" s="179" t="s">
        <v>216</v>
      </c>
      <c r="E1493" s="181">
        <v>0.5</v>
      </c>
    </row>
    <row r="1494" spans="2:5" ht="12.75" x14ac:dyDescent="0.2">
      <c r="B1494" s="179" t="s">
        <v>1777</v>
      </c>
      <c r="C1494" s="180" t="s">
        <v>1365</v>
      </c>
      <c r="D1494" s="179" t="s">
        <v>216</v>
      </c>
      <c r="E1494" s="181">
        <v>0.5</v>
      </c>
    </row>
    <row r="1495" spans="2:5" ht="12.75" x14ac:dyDescent="0.2">
      <c r="B1495" s="179" t="s">
        <v>1778</v>
      </c>
      <c r="C1495" s="180" t="s">
        <v>1365</v>
      </c>
      <c r="D1495" s="179" t="s">
        <v>216</v>
      </c>
      <c r="E1495" s="181">
        <v>0.5</v>
      </c>
    </row>
    <row r="1496" spans="2:5" ht="12.75" x14ac:dyDescent="0.2">
      <c r="B1496" s="179" t="s">
        <v>1779</v>
      </c>
      <c r="C1496" s="180" t="s">
        <v>1365</v>
      </c>
      <c r="D1496" s="179" t="s">
        <v>216</v>
      </c>
      <c r="E1496" s="181">
        <v>0.5</v>
      </c>
    </row>
    <row r="1497" spans="2:5" ht="12.75" x14ac:dyDescent="0.2">
      <c r="B1497" s="179" t="s">
        <v>1780</v>
      </c>
      <c r="C1497" s="180" t="s">
        <v>1365</v>
      </c>
      <c r="D1497" s="179" t="s">
        <v>216</v>
      </c>
      <c r="E1497" s="181">
        <v>0.5</v>
      </c>
    </row>
    <row r="1498" spans="2:5" ht="12.75" x14ac:dyDescent="0.2">
      <c r="B1498" s="179" t="s">
        <v>1781</v>
      </c>
      <c r="C1498" s="180" t="s">
        <v>1365</v>
      </c>
      <c r="D1498" s="179" t="s">
        <v>216</v>
      </c>
      <c r="E1498" s="181">
        <v>0.5</v>
      </c>
    </row>
    <row r="1499" spans="2:5" ht="12.75" x14ac:dyDescent="0.2">
      <c r="B1499" s="179" t="s">
        <v>1782</v>
      </c>
      <c r="C1499" s="180" t="s">
        <v>1365</v>
      </c>
      <c r="D1499" s="179" t="s">
        <v>216</v>
      </c>
      <c r="E1499" s="181">
        <v>0.5</v>
      </c>
    </row>
    <row r="1500" spans="2:5" ht="12.75" x14ac:dyDescent="0.2">
      <c r="B1500" s="179" t="s">
        <v>1783</v>
      </c>
      <c r="C1500" s="180" t="s">
        <v>1365</v>
      </c>
      <c r="D1500" s="179" t="s">
        <v>216</v>
      </c>
      <c r="E1500" s="181">
        <v>0.5</v>
      </c>
    </row>
    <row r="1501" spans="2:5" ht="12.75" x14ac:dyDescent="0.2">
      <c r="B1501" s="179" t="s">
        <v>1784</v>
      </c>
      <c r="C1501" s="180" t="s">
        <v>1365</v>
      </c>
      <c r="D1501" s="179" t="s">
        <v>216</v>
      </c>
      <c r="E1501" s="181">
        <v>0.5</v>
      </c>
    </row>
    <row r="1502" spans="2:5" ht="12.75" x14ac:dyDescent="0.2">
      <c r="B1502" s="179" t="s">
        <v>1785</v>
      </c>
      <c r="C1502" s="180" t="s">
        <v>1365</v>
      </c>
      <c r="D1502" s="179" t="s">
        <v>216</v>
      </c>
      <c r="E1502" s="181">
        <v>0.5</v>
      </c>
    </row>
    <row r="1503" spans="2:5" ht="12.75" x14ac:dyDescent="0.2">
      <c r="B1503" s="179" t="s">
        <v>1786</v>
      </c>
      <c r="C1503" s="180" t="s">
        <v>1365</v>
      </c>
      <c r="D1503" s="179" t="s">
        <v>216</v>
      </c>
      <c r="E1503" s="181">
        <v>0.5</v>
      </c>
    </row>
    <row r="1504" spans="2:5" ht="12.75" x14ac:dyDescent="0.2">
      <c r="B1504" s="179" t="s">
        <v>1787</v>
      </c>
      <c r="C1504" s="180" t="s">
        <v>1365</v>
      </c>
      <c r="D1504" s="179" t="s">
        <v>216</v>
      </c>
      <c r="E1504" s="181">
        <v>0.5</v>
      </c>
    </row>
    <row r="1505" spans="2:5" ht="12.75" x14ac:dyDescent="0.2">
      <c r="B1505" s="179" t="s">
        <v>1788</v>
      </c>
      <c r="C1505" s="180" t="s">
        <v>1365</v>
      </c>
      <c r="D1505" s="179" t="s">
        <v>216</v>
      </c>
      <c r="E1505" s="181">
        <v>0.5</v>
      </c>
    </row>
    <row r="1506" spans="2:5" ht="12.75" x14ac:dyDescent="0.2">
      <c r="B1506" s="179" t="s">
        <v>1789</v>
      </c>
      <c r="C1506" s="180" t="s">
        <v>1365</v>
      </c>
      <c r="D1506" s="179" t="s">
        <v>216</v>
      </c>
      <c r="E1506" s="181">
        <v>0.5</v>
      </c>
    </row>
    <row r="1507" spans="2:5" ht="12.75" x14ac:dyDescent="0.2">
      <c r="B1507" s="179" t="s">
        <v>1790</v>
      </c>
      <c r="C1507" s="180" t="s">
        <v>1365</v>
      </c>
      <c r="D1507" s="179" t="s">
        <v>216</v>
      </c>
      <c r="E1507" s="181">
        <v>0.5</v>
      </c>
    </row>
    <row r="1508" spans="2:5" ht="12.75" x14ac:dyDescent="0.2">
      <c r="B1508" s="179" t="s">
        <v>1791</v>
      </c>
      <c r="C1508" s="180" t="s">
        <v>1365</v>
      </c>
      <c r="D1508" s="179" t="s">
        <v>216</v>
      </c>
      <c r="E1508" s="181">
        <v>0.5</v>
      </c>
    </row>
    <row r="1509" spans="2:5" ht="12.75" x14ac:dyDescent="0.2">
      <c r="B1509" s="179" t="s">
        <v>1792</v>
      </c>
      <c r="C1509" s="180" t="s">
        <v>1365</v>
      </c>
      <c r="D1509" s="179" t="s">
        <v>216</v>
      </c>
      <c r="E1509" s="181">
        <v>0.5</v>
      </c>
    </row>
    <row r="1510" spans="2:5" ht="12.75" x14ac:dyDescent="0.2">
      <c r="B1510" s="179" t="s">
        <v>1793</v>
      </c>
      <c r="C1510" s="180" t="s">
        <v>1365</v>
      </c>
      <c r="D1510" s="179" t="s">
        <v>216</v>
      </c>
      <c r="E1510" s="181">
        <v>0.5</v>
      </c>
    </row>
    <row r="1511" spans="2:5" ht="12.75" x14ac:dyDescent="0.2">
      <c r="B1511" s="179" t="s">
        <v>1794</v>
      </c>
      <c r="C1511" s="180" t="s">
        <v>1365</v>
      </c>
      <c r="D1511" s="179" t="s">
        <v>216</v>
      </c>
      <c r="E1511" s="181">
        <v>0.5</v>
      </c>
    </row>
    <row r="1512" spans="2:5" ht="12.75" x14ac:dyDescent="0.2">
      <c r="B1512" s="179" t="s">
        <v>1795</v>
      </c>
      <c r="C1512" s="180" t="s">
        <v>1365</v>
      </c>
      <c r="D1512" s="179" t="s">
        <v>216</v>
      </c>
      <c r="E1512" s="181">
        <v>0.5</v>
      </c>
    </row>
    <row r="1513" spans="2:5" ht="12.75" x14ac:dyDescent="0.2">
      <c r="B1513" s="179" t="s">
        <v>1796</v>
      </c>
      <c r="C1513" s="180" t="s">
        <v>1365</v>
      </c>
      <c r="D1513" s="179" t="s">
        <v>216</v>
      </c>
      <c r="E1513" s="181">
        <v>0.5</v>
      </c>
    </row>
    <row r="1514" spans="2:5" ht="12.75" x14ac:dyDescent="0.2">
      <c r="B1514" s="179" t="s">
        <v>1797</v>
      </c>
      <c r="C1514" s="180" t="s">
        <v>1365</v>
      </c>
      <c r="D1514" s="179" t="s">
        <v>216</v>
      </c>
      <c r="E1514" s="181">
        <v>0.5</v>
      </c>
    </row>
    <row r="1515" spans="2:5" ht="12.75" x14ac:dyDescent="0.2">
      <c r="B1515" s="179" t="s">
        <v>1798</v>
      </c>
      <c r="C1515" s="180" t="s">
        <v>1365</v>
      </c>
      <c r="D1515" s="179" t="s">
        <v>216</v>
      </c>
      <c r="E1515" s="181">
        <v>0.5</v>
      </c>
    </row>
    <row r="1516" spans="2:5" ht="12.75" x14ac:dyDescent="0.2">
      <c r="B1516" s="179" t="s">
        <v>1799</v>
      </c>
      <c r="C1516" s="180" t="s">
        <v>1365</v>
      </c>
      <c r="D1516" s="179" t="s">
        <v>216</v>
      </c>
      <c r="E1516" s="181">
        <v>0.5</v>
      </c>
    </row>
    <row r="1517" spans="2:5" ht="12.75" x14ac:dyDescent="0.2">
      <c r="B1517" s="179" t="s">
        <v>1800</v>
      </c>
      <c r="C1517" s="180" t="s">
        <v>1365</v>
      </c>
      <c r="D1517" s="179" t="s">
        <v>216</v>
      </c>
      <c r="E1517" s="181">
        <v>0.5</v>
      </c>
    </row>
    <row r="1518" spans="2:5" ht="12.75" x14ac:dyDescent="0.2">
      <c r="B1518" s="179" t="s">
        <v>1801</v>
      </c>
      <c r="C1518" s="180" t="s">
        <v>1365</v>
      </c>
      <c r="D1518" s="179" t="s">
        <v>216</v>
      </c>
      <c r="E1518" s="181">
        <v>0.5</v>
      </c>
    </row>
    <row r="1519" spans="2:5" ht="12.75" x14ac:dyDescent="0.2">
      <c r="B1519" s="179" t="s">
        <v>1802</v>
      </c>
      <c r="C1519" s="180" t="s">
        <v>1365</v>
      </c>
      <c r="D1519" s="179" t="s">
        <v>216</v>
      </c>
      <c r="E1519" s="181">
        <v>0.5</v>
      </c>
    </row>
    <row r="1520" spans="2:5" ht="12.75" x14ac:dyDescent="0.2">
      <c r="B1520" s="179" t="s">
        <v>1803</v>
      </c>
      <c r="C1520" s="180" t="s">
        <v>1365</v>
      </c>
      <c r="D1520" s="179" t="s">
        <v>216</v>
      </c>
      <c r="E1520" s="181">
        <v>0.5</v>
      </c>
    </row>
    <row r="1521" spans="2:5" ht="12.75" x14ac:dyDescent="0.2">
      <c r="B1521" s="179" t="s">
        <v>1804</v>
      </c>
      <c r="C1521" s="180" t="s">
        <v>1365</v>
      </c>
      <c r="D1521" s="179" t="s">
        <v>216</v>
      </c>
      <c r="E1521" s="181">
        <v>0.5</v>
      </c>
    </row>
    <row r="1522" spans="2:5" ht="12.75" x14ac:dyDescent="0.2">
      <c r="B1522" s="179" t="s">
        <v>1805</v>
      </c>
      <c r="C1522" s="180" t="s">
        <v>1365</v>
      </c>
      <c r="D1522" s="179" t="s">
        <v>216</v>
      </c>
      <c r="E1522" s="181">
        <v>0.5</v>
      </c>
    </row>
    <row r="1523" spans="2:5" ht="12.75" x14ac:dyDescent="0.2">
      <c r="B1523" s="179" t="s">
        <v>1806</v>
      </c>
      <c r="C1523" s="180" t="s">
        <v>1365</v>
      </c>
      <c r="D1523" s="179" t="s">
        <v>216</v>
      </c>
      <c r="E1523" s="181">
        <v>0.5</v>
      </c>
    </row>
    <row r="1524" spans="2:5" ht="12.75" x14ac:dyDescent="0.2">
      <c r="B1524" s="179" t="s">
        <v>1807</v>
      </c>
      <c r="C1524" s="180" t="s">
        <v>1365</v>
      </c>
      <c r="D1524" s="179" t="s">
        <v>216</v>
      </c>
      <c r="E1524" s="181">
        <v>0.5</v>
      </c>
    </row>
    <row r="1525" spans="2:5" ht="12.75" x14ac:dyDescent="0.2">
      <c r="B1525" s="179" t="s">
        <v>1808</v>
      </c>
      <c r="C1525" s="180" t="s">
        <v>1365</v>
      </c>
      <c r="D1525" s="179" t="s">
        <v>216</v>
      </c>
      <c r="E1525" s="181">
        <v>0.5</v>
      </c>
    </row>
    <row r="1526" spans="2:5" ht="12.75" x14ac:dyDescent="0.2">
      <c r="B1526" s="179" t="s">
        <v>1809</v>
      </c>
      <c r="C1526" s="180" t="s">
        <v>1365</v>
      </c>
      <c r="D1526" s="179" t="s">
        <v>216</v>
      </c>
      <c r="E1526" s="181">
        <v>0.5</v>
      </c>
    </row>
    <row r="1527" spans="2:5" ht="12.75" x14ac:dyDescent="0.2">
      <c r="B1527" s="179" t="s">
        <v>1810</v>
      </c>
      <c r="C1527" s="180" t="s">
        <v>1365</v>
      </c>
      <c r="D1527" s="179" t="s">
        <v>216</v>
      </c>
      <c r="E1527" s="181">
        <v>0.5</v>
      </c>
    </row>
    <row r="1528" spans="2:5" ht="12.75" x14ac:dyDescent="0.2">
      <c r="B1528" s="179" t="s">
        <v>1811</v>
      </c>
      <c r="C1528" s="180" t="s">
        <v>1365</v>
      </c>
      <c r="D1528" s="179" t="s">
        <v>216</v>
      </c>
      <c r="E1528" s="181">
        <v>0.5</v>
      </c>
    </row>
    <row r="1529" spans="2:5" ht="12.75" x14ac:dyDescent="0.2">
      <c r="B1529" s="179" t="s">
        <v>1812</v>
      </c>
      <c r="C1529" s="180" t="s">
        <v>1365</v>
      </c>
      <c r="D1529" s="179" t="s">
        <v>216</v>
      </c>
      <c r="E1529" s="181">
        <v>0.5</v>
      </c>
    </row>
    <row r="1530" spans="2:5" ht="12.75" x14ac:dyDescent="0.2">
      <c r="B1530" s="179" t="s">
        <v>1813</v>
      </c>
      <c r="C1530" s="180" t="s">
        <v>1365</v>
      </c>
      <c r="D1530" s="179" t="s">
        <v>216</v>
      </c>
      <c r="E1530" s="181">
        <v>0.5</v>
      </c>
    </row>
    <row r="1531" spans="2:5" ht="12.75" x14ac:dyDescent="0.2">
      <c r="B1531" s="179" t="s">
        <v>1814</v>
      </c>
      <c r="C1531" s="180" t="s">
        <v>1365</v>
      </c>
      <c r="D1531" s="179" t="s">
        <v>216</v>
      </c>
      <c r="E1531" s="181">
        <v>0.5</v>
      </c>
    </row>
    <row r="1532" spans="2:5" ht="12.75" x14ac:dyDescent="0.2">
      <c r="B1532" s="179" t="s">
        <v>1815</v>
      </c>
      <c r="C1532" s="180" t="s">
        <v>1365</v>
      </c>
      <c r="D1532" s="179" t="s">
        <v>216</v>
      </c>
      <c r="E1532" s="181">
        <v>0.5</v>
      </c>
    </row>
    <row r="1533" spans="2:5" ht="12.75" x14ac:dyDescent="0.2">
      <c r="B1533" s="179" t="s">
        <v>1816</v>
      </c>
      <c r="C1533" s="180" t="s">
        <v>1365</v>
      </c>
      <c r="D1533" s="179" t="s">
        <v>216</v>
      </c>
      <c r="E1533" s="181">
        <v>0.5</v>
      </c>
    </row>
    <row r="1534" spans="2:5" ht="12.75" x14ac:dyDescent="0.2">
      <c r="B1534" s="179" t="s">
        <v>1817</v>
      </c>
      <c r="C1534" s="180" t="s">
        <v>1365</v>
      </c>
      <c r="D1534" s="179" t="s">
        <v>216</v>
      </c>
      <c r="E1534" s="181">
        <v>0.5</v>
      </c>
    </row>
    <row r="1535" spans="2:5" ht="12.75" x14ac:dyDescent="0.2">
      <c r="B1535" s="179" t="s">
        <v>1818</v>
      </c>
      <c r="C1535" s="180" t="s">
        <v>1365</v>
      </c>
      <c r="D1535" s="179" t="s">
        <v>216</v>
      </c>
      <c r="E1535" s="181">
        <v>0.5</v>
      </c>
    </row>
    <row r="1536" spans="2:5" ht="12.75" x14ac:dyDescent="0.2">
      <c r="B1536" s="179" t="s">
        <v>1819</v>
      </c>
      <c r="C1536" s="180" t="s">
        <v>1365</v>
      </c>
      <c r="D1536" s="179" t="s">
        <v>216</v>
      </c>
      <c r="E1536" s="181">
        <v>0.5</v>
      </c>
    </row>
    <row r="1537" spans="2:5" ht="12.75" x14ac:dyDescent="0.2">
      <c r="B1537" s="179" t="s">
        <v>1820</v>
      </c>
      <c r="C1537" s="180" t="s">
        <v>1365</v>
      </c>
      <c r="D1537" s="179" t="s">
        <v>216</v>
      </c>
      <c r="E1537" s="181">
        <v>0.5</v>
      </c>
    </row>
    <row r="1538" spans="2:5" ht="12.75" x14ac:dyDescent="0.2">
      <c r="B1538" s="179" t="s">
        <v>1821</v>
      </c>
      <c r="C1538" s="180" t="s">
        <v>1365</v>
      </c>
      <c r="D1538" s="179" t="s">
        <v>216</v>
      </c>
      <c r="E1538" s="181">
        <v>0.5</v>
      </c>
    </row>
    <row r="1539" spans="2:5" ht="12.75" x14ac:dyDescent="0.2">
      <c r="B1539" s="179" t="s">
        <v>1822</v>
      </c>
      <c r="C1539" s="180" t="s">
        <v>1365</v>
      </c>
      <c r="D1539" s="179" t="s">
        <v>216</v>
      </c>
      <c r="E1539" s="181">
        <v>0.5</v>
      </c>
    </row>
    <row r="1540" spans="2:5" ht="12.75" x14ac:dyDescent="0.2">
      <c r="B1540" s="179" t="s">
        <v>1823</v>
      </c>
      <c r="C1540" s="180" t="s">
        <v>1365</v>
      </c>
      <c r="D1540" s="179" t="s">
        <v>216</v>
      </c>
      <c r="E1540" s="181">
        <v>0.5</v>
      </c>
    </row>
    <row r="1541" spans="2:5" ht="12.75" x14ac:dyDescent="0.2">
      <c r="B1541" s="179" t="s">
        <v>1824</v>
      </c>
      <c r="C1541" s="180" t="s">
        <v>1365</v>
      </c>
      <c r="D1541" s="179" t="s">
        <v>216</v>
      </c>
      <c r="E1541" s="181">
        <v>0.5</v>
      </c>
    </row>
    <row r="1542" spans="2:5" ht="12.75" x14ac:dyDescent="0.2">
      <c r="B1542" s="179" t="s">
        <v>1825</v>
      </c>
      <c r="C1542" s="180" t="s">
        <v>1365</v>
      </c>
      <c r="D1542" s="179" t="s">
        <v>216</v>
      </c>
      <c r="E1542" s="181">
        <v>0.5</v>
      </c>
    </row>
    <row r="1543" spans="2:5" ht="12.75" x14ac:dyDescent="0.2">
      <c r="B1543" s="179" t="s">
        <v>1826</v>
      </c>
      <c r="C1543" s="180" t="s">
        <v>1365</v>
      </c>
      <c r="D1543" s="179" t="s">
        <v>216</v>
      </c>
      <c r="E1543" s="181">
        <v>0.5</v>
      </c>
    </row>
    <row r="1544" spans="2:5" ht="12.75" x14ac:dyDescent="0.2">
      <c r="B1544" s="179" t="s">
        <v>1827</v>
      </c>
      <c r="C1544" s="180" t="s">
        <v>1365</v>
      </c>
      <c r="D1544" s="179" t="s">
        <v>216</v>
      </c>
      <c r="E1544" s="181">
        <v>0.5</v>
      </c>
    </row>
    <row r="1545" spans="2:5" ht="12.75" x14ac:dyDescent="0.2">
      <c r="B1545" s="179" t="s">
        <v>1828</v>
      </c>
      <c r="C1545" s="180" t="s">
        <v>1365</v>
      </c>
      <c r="D1545" s="179" t="s">
        <v>216</v>
      </c>
      <c r="E1545" s="181">
        <v>0.5</v>
      </c>
    </row>
    <row r="1546" spans="2:5" ht="12.75" x14ac:dyDescent="0.2">
      <c r="B1546" s="179" t="s">
        <v>1829</v>
      </c>
      <c r="C1546" s="180" t="s">
        <v>1365</v>
      </c>
      <c r="D1546" s="179" t="s">
        <v>216</v>
      </c>
      <c r="E1546" s="181">
        <v>0.5</v>
      </c>
    </row>
    <row r="1547" spans="2:5" ht="12.75" x14ac:dyDescent="0.2">
      <c r="B1547" s="179" t="s">
        <v>1830</v>
      </c>
      <c r="C1547" s="180" t="s">
        <v>1365</v>
      </c>
      <c r="D1547" s="179" t="s">
        <v>216</v>
      </c>
      <c r="E1547" s="181">
        <v>0.5</v>
      </c>
    </row>
    <row r="1548" spans="2:5" ht="12.75" x14ac:dyDescent="0.2">
      <c r="B1548" s="179" t="s">
        <v>1831</v>
      </c>
      <c r="C1548" s="180" t="s">
        <v>1365</v>
      </c>
      <c r="D1548" s="179" t="s">
        <v>216</v>
      </c>
      <c r="E1548" s="181">
        <v>0.5</v>
      </c>
    </row>
    <row r="1549" spans="2:5" ht="12.75" x14ac:dyDescent="0.2">
      <c r="B1549" s="179" t="s">
        <v>1832</v>
      </c>
      <c r="C1549" s="180" t="s">
        <v>1365</v>
      </c>
      <c r="D1549" s="179" t="s">
        <v>216</v>
      </c>
      <c r="E1549" s="181">
        <v>0.5</v>
      </c>
    </row>
    <row r="1550" spans="2:5" ht="12.75" x14ac:dyDescent="0.2">
      <c r="B1550" s="179" t="s">
        <v>1833</v>
      </c>
      <c r="C1550" s="180" t="s">
        <v>1365</v>
      </c>
      <c r="D1550" s="179" t="s">
        <v>216</v>
      </c>
      <c r="E1550" s="181">
        <v>0.5</v>
      </c>
    </row>
    <row r="1551" spans="2:5" ht="12.75" x14ac:dyDescent="0.2">
      <c r="B1551" s="179" t="s">
        <v>1834</v>
      </c>
      <c r="C1551" s="180" t="s">
        <v>1365</v>
      </c>
      <c r="D1551" s="179" t="s">
        <v>216</v>
      </c>
      <c r="E1551" s="181">
        <v>0.5</v>
      </c>
    </row>
    <row r="1552" spans="2:5" ht="12.75" x14ac:dyDescent="0.2">
      <c r="B1552" s="179" t="s">
        <v>1835</v>
      </c>
      <c r="C1552" s="180" t="s">
        <v>1365</v>
      </c>
      <c r="D1552" s="179" t="s">
        <v>216</v>
      </c>
      <c r="E1552" s="181">
        <v>0.5</v>
      </c>
    </row>
    <row r="1553" spans="2:5" ht="12.75" x14ac:dyDescent="0.2">
      <c r="B1553" s="179" t="s">
        <v>1836</v>
      </c>
      <c r="C1553" s="180" t="s">
        <v>1365</v>
      </c>
      <c r="D1553" s="179" t="s">
        <v>216</v>
      </c>
      <c r="E1553" s="181">
        <v>0.5</v>
      </c>
    </row>
    <row r="1554" spans="2:5" ht="12.75" x14ac:dyDescent="0.2">
      <c r="B1554" s="179" t="s">
        <v>1837</v>
      </c>
      <c r="C1554" s="180" t="s">
        <v>1365</v>
      </c>
      <c r="D1554" s="179" t="s">
        <v>216</v>
      </c>
      <c r="E1554" s="181">
        <v>0.5</v>
      </c>
    </row>
    <row r="1555" spans="2:5" ht="12.75" x14ac:dyDescent="0.2">
      <c r="B1555" s="179" t="s">
        <v>1838</v>
      </c>
      <c r="C1555" s="180" t="s">
        <v>1365</v>
      </c>
      <c r="D1555" s="179" t="s">
        <v>216</v>
      </c>
      <c r="E1555" s="181">
        <v>0.5</v>
      </c>
    </row>
    <row r="1556" spans="2:5" ht="12.75" x14ac:dyDescent="0.2">
      <c r="B1556" s="179" t="s">
        <v>1839</v>
      </c>
      <c r="C1556" s="180" t="s">
        <v>1365</v>
      </c>
      <c r="D1556" s="179" t="s">
        <v>216</v>
      </c>
      <c r="E1556" s="181">
        <v>0.5</v>
      </c>
    </row>
    <row r="1557" spans="2:5" ht="12.75" x14ac:dyDescent="0.2">
      <c r="B1557" s="179" t="s">
        <v>1840</v>
      </c>
      <c r="C1557" s="180" t="s">
        <v>1365</v>
      </c>
      <c r="D1557" s="179" t="s">
        <v>216</v>
      </c>
      <c r="E1557" s="181">
        <v>0.5</v>
      </c>
    </row>
    <row r="1558" spans="2:5" ht="12.75" x14ac:dyDescent="0.2">
      <c r="B1558" s="179" t="s">
        <v>1841</v>
      </c>
      <c r="C1558" s="180" t="s">
        <v>1365</v>
      </c>
      <c r="D1558" s="179" t="s">
        <v>216</v>
      </c>
      <c r="E1558" s="181">
        <v>0.5</v>
      </c>
    </row>
    <row r="1559" spans="2:5" ht="12.75" x14ac:dyDescent="0.2">
      <c r="B1559" s="179" t="s">
        <v>1842</v>
      </c>
      <c r="C1559" s="180" t="s">
        <v>1365</v>
      </c>
      <c r="D1559" s="179" t="s">
        <v>216</v>
      </c>
      <c r="E1559" s="181">
        <v>0.5</v>
      </c>
    </row>
    <row r="1560" spans="2:5" ht="12.75" x14ac:dyDescent="0.2">
      <c r="B1560" s="179" t="s">
        <v>1843</v>
      </c>
      <c r="C1560" s="180" t="s">
        <v>1365</v>
      </c>
      <c r="D1560" s="179" t="s">
        <v>216</v>
      </c>
      <c r="E1560" s="181">
        <v>0.5</v>
      </c>
    </row>
    <row r="1561" spans="2:5" ht="12.75" x14ac:dyDescent="0.2">
      <c r="B1561" s="179" t="s">
        <v>1844</v>
      </c>
      <c r="C1561" s="180" t="s">
        <v>1365</v>
      </c>
      <c r="D1561" s="179" t="s">
        <v>216</v>
      </c>
      <c r="E1561" s="181">
        <v>0.5</v>
      </c>
    </row>
    <row r="1562" spans="2:5" ht="12.75" x14ac:dyDescent="0.2">
      <c r="B1562" s="179" t="s">
        <v>1845</v>
      </c>
      <c r="C1562" s="180" t="s">
        <v>1365</v>
      </c>
      <c r="D1562" s="179" t="s">
        <v>216</v>
      </c>
      <c r="E1562" s="181">
        <v>0.5</v>
      </c>
    </row>
    <row r="1563" spans="2:5" ht="12.75" x14ac:dyDescent="0.2">
      <c r="B1563" s="179" t="s">
        <v>1846</v>
      </c>
      <c r="C1563" s="180" t="s">
        <v>1365</v>
      </c>
      <c r="D1563" s="179" t="s">
        <v>216</v>
      </c>
      <c r="E1563" s="181">
        <v>0.5</v>
      </c>
    </row>
    <row r="1564" spans="2:5" ht="12.75" x14ac:dyDescent="0.2">
      <c r="B1564" s="179" t="s">
        <v>1847</v>
      </c>
      <c r="C1564" s="180" t="s">
        <v>1365</v>
      </c>
      <c r="D1564" s="179" t="s">
        <v>216</v>
      </c>
      <c r="E1564" s="181">
        <v>0.5</v>
      </c>
    </row>
    <row r="1565" spans="2:5" ht="12.75" x14ac:dyDescent="0.2">
      <c r="B1565" s="179" t="s">
        <v>1848</v>
      </c>
      <c r="C1565" s="180" t="s">
        <v>1365</v>
      </c>
      <c r="D1565" s="179" t="s">
        <v>216</v>
      </c>
      <c r="E1565" s="181">
        <v>0.5</v>
      </c>
    </row>
    <row r="1566" spans="2:5" ht="12.75" x14ac:dyDescent="0.2">
      <c r="B1566" s="179" t="s">
        <v>1849</v>
      </c>
      <c r="C1566" s="180" t="s">
        <v>1365</v>
      </c>
      <c r="D1566" s="179" t="s">
        <v>216</v>
      </c>
      <c r="E1566" s="181">
        <v>0.5</v>
      </c>
    </row>
    <row r="1567" spans="2:5" ht="12.75" x14ac:dyDescent="0.2">
      <c r="B1567" s="179" t="s">
        <v>1850</v>
      </c>
      <c r="C1567" s="180" t="s">
        <v>1365</v>
      </c>
      <c r="D1567" s="179" t="s">
        <v>216</v>
      </c>
      <c r="E1567" s="181">
        <v>0.5</v>
      </c>
    </row>
    <row r="1568" spans="2:5" ht="12.75" x14ac:dyDescent="0.2">
      <c r="B1568" s="179" t="s">
        <v>1851</v>
      </c>
      <c r="C1568" s="180" t="s">
        <v>1365</v>
      </c>
      <c r="D1568" s="179" t="s">
        <v>216</v>
      </c>
      <c r="E1568" s="181">
        <v>0.5</v>
      </c>
    </row>
    <row r="1569" spans="2:5" ht="12.75" x14ac:dyDescent="0.2">
      <c r="B1569" s="179" t="s">
        <v>1852</v>
      </c>
      <c r="C1569" s="180" t="s">
        <v>1365</v>
      </c>
      <c r="D1569" s="179" t="s">
        <v>216</v>
      </c>
      <c r="E1569" s="181">
        <v>0.5</v>
      </c>
    </row>
    <row r="1570" spans="2:5" ht="12.75" x14ac:dyDescent="0.2">
      <c r="B1570" s="179" t="s">
        <v>1853</v>
      </c>
      <c r="C1570" s="180" t="s">
        <v>1365</v>
      </c>
      <c r="D1570" s="179" t="s">
        <v>216</v>
      </c>
      <c r="E1570" s="181">
        <v>0.5</v>
      </c>
    </row>
    <row r="1571" spans="2:5" ht="12.75" x14ac:dyDescent="0.2">
      <c r="B1571" s="179" t="s">
        <v>1854</v>
      </c>
      <c r="C1571" s="180" t="s">
        <v>1365</v>
      </c>
      <c r="D1571" s="179" t="s">
        <v>216</v>
      </c>
      <c r="E1571" s="181">
        <v>0.5</v>
      </c>
    </row>
    <row r="1572" spans="2:5" ht="12.75" x14ac:dyDescent="0.2">
      <c r="B1572" s="179" t="s">
        <v>1855</v>
      </c>
      <c r="C1572" s="180" t="s">
        <v>1365</v>
      </c>
      <c r="D1572" s="179" t="s">
        <v>216</v>
      </c>
      <c r="E1572" s="181">
        <v>0.5</v>
      </c>
    </row>
    <row r="1573" spans="2:5" ht="12.75" x14ac:dyDescent="0.2">
      <c r="B1573" s="179" t="s">
        <v>1856</v>
      </c>
      <c r="C1573" s="180" t="s">
        <v>1365</v>
      </c>
      <c r="D1573" s="179" t="s">
        <v>216</v>
      </c>
      <c r="E1573" s="181">
        <v>0.5</v>
      </c>
    </row>
    <row r="1574" spans="2:5" ht="12.75" x14ac:dyDescent="0.2">
      <c r="B1574" s="179" t="s">
        <v>1857</v>
      </c>
      <c r="C1574" s="180" t="s">
        <v>1365</v>
      </c>
      <c r="D1574" s="179" t="s">
        <v>216</v>
      </c>
      <c r="E1574" s="181">
        <v>0.5</v>
      </c>
    </row>
    <row r="1575" spans="2:5" ht="12.75" x14ac:dyDescent="0.2">
      <c r="B1575" s="179" t="s">
        <v>1858</v>
      </c>
      <c r="C1575" s="180" t="s">
        <v>1365</v>
      </c>
      <c r="D1575" s="179" t="s">
        <v>216</v>
      </c>
      <c r="E1575" s="181">
        <v>0.5</v>
      </c>
    </row>
    <row r="1576" spans="2:5" ht="12.75" x14ac:dyDescent="0.2">
      <c r="B1576" s="179" t="s">
        <v>1859</v>
      </c>
      <c r="C1576" s="180" t="s">
        <v>1365</v>
      </c>
      <c r="D1576" s="179" t="s">
        <v>216</v>
      </c>
      <c r="E1576" s="181">
        <v>0.5</v>
      </c>
    </row>
    <row r="1577" spans="2:5" ht="12.75" x14ac:dyDescent="0.2">
      <c r="B1577" s="179" t="s">
        <v>1860</v>
      </c>
      <c r="C1577" s="180" t="s">
        <v>1365</v>
      </c>
      <c r="D1577" s="179" t="s">
        <v>216</v>
      </c>
      <c r="E1577" s="181">
        <v>0.5</v>
      </c>
    </row>
    <row r="1578" spans="2:5" ht="12.75" x14ac:dyDescent="0.2">
      <c r="B1578" s="179" t="s">
        <v>1861</v>
      </c>
      <c r="C1578" s="180" t="s">
        <v>1365</v>
      </c>
      <c r="D1578" s="179" t="s">
        <v>216</v>
      </c>
      <c r="E1578" s="181">
        <v>0.5</v>
      </c>
    </row>
    <row r="1579" spans="2:5" ht="12.75" x14ac:dyDescent="0.2">
      <c r="B1579" s="179" t="s">
        <v>1862</v>
      </c>
      <c r="C1579" s="180" t="s">
        <v>1365</v>
      </c>
      <c r="D1579" s="179" t="s">
        <v>216</v>
      </c>
      <c r="E1579" s="181">
        <v>0.5</v>
      </c>
    </row>
    <row r="1580" spans="2:5" ht="12.75" x14ac:dyDescent="0.2">
      <c r="B1580" s="179" t="s">
        <v>1863</v>
      </c>
      <c r="C1580" s="180" t="s">
        <v>1365</v>
      </c>
      <c r="D1580" s="179" t="s">
        <v>216</v>
      </c>
      <c r="E1580" s="181">
        <v>0.5</v>
      </c>
    </row>
    <row r="1581" spans="2:5" ht="12.75" x14ac:dyDescent="0.2">
      <c r="B1581" s="179" t="s">
        <v>1864</v>
      </c>
      <c r="C1581" s="180" t="s">
        <v>1365</v>
      </c>
      <c r="D1581" s="179" t="s">
        <v>216</v>
      </c>
      <c r="E1581" s="181">
        <v>0.5</v>
      </c>
    </row>
    <row r="1582" spans="2:5" ht="12.75" x14ac:dyDescent="0.2">
      <c r="B1582" s="179" t="s">
        <v>1865</v>
      </c>
      <c r="C1582" s="180" t="s">
        <v>1365</v>
      </c>
      <c r="D1582" s="179" t="s">
        <v>216</v>
      </c>
      <c r="E1582" s="181">
        <v>0.5</v>
      </c>
    </row>
    <row r="1583" spans="2:5" ht="12.75" x14ac:dyDescent="0.2">
      <c r="B1583" s="179" t="s">
        <v>1866</v>
      </c>
      <c r="C1583" s="180" t="s">
        <v>1365</v>
      </c>
      <c r="D1583" s="179" t="s">
        <v>216</v>
      </c>
      <c r="E1583" s="181">
        <v>0.5</v>
      </c>
    </row>
    <row r="1584" spans="2:5" ht="12.75" x14ac:dyDescent="0.2">
      <c r="B1584" s="179" t="s">
        <v>1867</v>
      </c>
      <c r="C1584" s="180" t="s">
        <v>1365</v>
      </c>
      <c r="D1584" s="179" t="s">
        <v>216</v>
      </c>
      <c r="E1584" s="181">
        <v>0.5</v>
      </c>
    </row>
    <row r="1585" spans="2:5" ht="12.75" x14ac:dyDescent="0.2">
      <c r="B1585" s="179" t="s">
        <v>1868</v>
      </c>
      <c r="C1585" s="180" t="s">
        <v>1365</v>
      </c>
      <c r="D1585" s="179" t="s">
        <v>216</v>
      </c>
      <c r="E1585" s="181">
        <v>0.5</v>
      </c>
    </row>
    <row r="1586" spans="2:5" ht="12.75" x14ac:dyDescent="0.2">
      <c r="B1586" s="179" t="s">
        <v>1869</v>
      </c>
      <c r="C1586" s="180" t="s">
        <v>1365</v>
      </c>
      <c r="D1586" s="179" t="s">
        <v>216</v>
      </c>
      <c r="E1586" s="181">
        <v>0.5</v>
      </c>
    </row>
    <row r="1587" spans="2:5" ht="12.75" x14ac:dyDescent="0.2">
      <c r="B1587" s="179" t="s">
        <v>1870</v>
      </c>
      <c r="C1587" s="180" t="s">
        <v>1365</v>
      </c>
      <c r="D1587" s="179" t="s">
        <v>216</v>
      </c>
      <c r="E1587" s="181">
        <v>0.5</v>
      </c>
    </row>
    <row r="1588" spans="2:5" ht="12.75" x14ac:dyDescent="0.2">
      <c r="B1588" s="179" t="s">
        <v>1871</v>
      </c>
      <c r="C1588" s="180" t="s">
        <v>1365</v>
      </c>
      <c r="D1588" s="179" t="s">
        <v>216</v>
      </c>
      <c r="E1588" s="181">
        <v>0.5</v>
      </c>
    </row>
    <row r="1589" spans="2:5" ht="12.75" x14ac:dyDescent="0.2">
      <c r="B1589" s="179" t="s">
        <v>1872</v>
      </c>
      <c r="C1589" s="180" t="s">
        <v>1365</v>
      </c>
      <c r="D1589" s="179" t="s">
        <v>216</v>
      </c>
      <c r="E1589" s="181">
        <v>0.5</v>
      </c>
    </row>
    <row r="1590" spans="2:5" ht="12.75" x14ac:dyDescent="0.2">
      <c r="B1590" s="179" t="s">
        <v>1873</v>
      </c>
      <c r="C1590" s="180" t="s">
        <v>1365</v>
      </c>
      <c r="D1590" s="179" t="s">
        <v>216</v>
      </c>
      <c r="E1590" s="181">
        <v>0.5</v>
      </c>
    </row>
    <row r="1591" spans="2:5" ht="12.75" x14ac:dyDescent="0.2">
      <c r="B1591" s="179" t="s">
        <v>1874</v>
      </c>
      <c r="C1591" s="180" t="s">
        <v>1365</v>
      </c>
      <c r="D1591" s="179" t="s">
        <v>216</v>
      </c>
      <c r="E1591" s="181">
        <v>0.5</v>
      </c>
    </row>
    <row r="1592" spans="2:5" ht="12.75" x14ac:dyDescent="0.2">
      <c r="B1592" s="179" t="s">
        <v>1875</v>
      </c>
      <c r="C1592" s="180" t="s">
        <v>1365</v>
      </c>
      <c r="D1592" s="179" t="s">
        <v>216</v>
      </c>
      <c r="E1592" s="181">
        <v>0.5</v>
      </c>
    </row>
    <row r="1593" spans="2:5" ht="12.75" x14ac:dyDescent="0.2">
      <c r="B1593" s="179" t="s">
        <v>1876</v>
      </c>
      <c r="C1593" s="180" t="s">
        <v>1365</v>
      </c>
      <c r="D1593" s="179" t="s">
        <v>216</v>
      </c>
      <c r="E1593" s="181">
        <v>0.5</v>
      </c>
    </row>
    <row r="1594" spans="2:5" ht="12.75" x14ac:dyDescent="0.2">
      <c r="B1594" s="179" t="s">
        <v>1877</v>
      </c>
      <c r="C1594" s="180" t="s">
        <v>1365</v>
      </c>
      <c r="D1594" s="179" t="s">
        <v>216</v>
      </c>
      <c r="E1594" s="181">
        <v>0.5</v>
      </c>
    </row>
    <row r="1595" spans="2:5" ht="12.75" x14ac:dyDescent="0.2">
      <c r="B1595" s="179" t="s">
        <v>1878</v>
      </c>
      <c r="C1595" s="180" t="s">
        <v>1365</v>
      </c>
      <c r="D1595" s="179" t="s">
        <v>216</v>
      </c>
      <c r="E1595" s="181">
        <v>0.5</v>
      </c>
    </row>
    <row r="1596" spans="2:5" ht="12.75" x14ac:dyDescent="0.2">
      <c r="B1596" s="179" t="s">
        <v>1879</v>
      </c>
      <c r="C1596" s="180" t="s">
        <v>1365</v>
      </c>
      <c r="D1596" s="179" t="s">
        <v>216</v>
      </c>
      <c r="E1596" s="181">
        <v>0.5</v>
      </c>
    </row>
    <row r="1597" spans="2:5" ht="12.75" x14ac:dyDescent="0.2">
      <c r="B1597" s="179" t="s">
        <v>1880</v>
      </c>
      <c r="C1597" s="180" t="s">
        <v>1365</v>
      </c>
      <c r="D1597" s="179" t="s">
        <v>216</v>
      </c>
      <c r="E1597" s="181">
        <v>0.5</v>
      </c>
    </row>
    <row r="1598" spans="2:5" ht="12.75" x14ac:dyDescent="0.2">
      <c r="B1598" s="179" t="s">
        <v>1881</v>
      </c>
      <c r="C1598" s="180" t="s">
        <v>1365</v>
      </c>
      <c r="D1598" s="179" t="s">
        <v>216</v>
      </c>
      <c r="E1598" s="181">
        <v>0.5</v>
      </c>
    </row>
    <row r="1599" spans="2:5" ht="12.75" x14ac:dyDescent="0.2">
      <c r="B1599" s="179" t="s">
        <v>1882</v>
      </c>
      <c r="C1599" s="180" t="s">
        <v>1365</v>
      </c>
      <c r="D1599" s="179" t="s">
        <v>216</v>
      </c>
      <c r="E1599" s="181">
        <v>0.5</v>
      </c>
    </row>
    <row r="1600" spans="2:5" ht="12.75" x14ac:dyDescent="0.2">
      <c r="B1600" s="179" t="s">
        <v>1883</v>
      </c>
      <c r="C1600" s="180" t="s">
        <v>1365</v>
      </c>
      <c r="D1600" s="179" t="s">
        <v>216</v>
      </c>
      <c r="E1600" s="181">
        <v>0.5</v>
      </c>
    </row>
    <row r="1601" spans="2:5" ht="12.75" x14ac:dyDescent="0.2">
      <c r="B1601" s="179" t="s">
        <v>1884</v>
      </c>
      <c r="C1601" s="180" t="s">
        <v>1365</v>
      </c>
      <c r="D1601" s="179" t="s">
        <v>216</v>
      </c>
      <c r="E1601" s="181">
        <v>0.5</v>
      </c>
    </row>
    <row r="1602" spans="2:5" ht="12.75" x14ac:dyDescent="0.2">
      <c r="B1602" s="179" t="s">
        <v>1885</v>
      </c>
      <c r="C1602" s="180" t="s">
        <v>1365</v>
      </c>
      <c r="D1602" s="179" t="s">
        <v>216</v>
      </c>
      <c r="E1602" s="181">
        <v>0.5</v>
      </c>
    </row>
    <row r="1603" spans="2:5" ht="12.75" x14ac:dyDescent="0.2">
      <c r="B1603" s="179" t="s">
        <v>1886</v>
      </c>
      <c r="C1603" s="180" t="s">
        <v>1365</v>
      </c>
      <c r="D1603" s="179" t="s">
        <v>216</v>
      </c>
      <c r="E1603" s="181">
        <v>0.5</v>
      </c>
    </row>
    <row r="1604" spans="2:5" ht="12.75" x14ac:dyDescent="0.2">
      <c r="B1604" s="179" t="s">
        <v>1887</v>
      </c>
      <c r="C1604" s="180" t="s">
        <v>1365</v>
      </c>
      <c r="D1604" s="179" t="s">
        <v>216</v>
      </c>
      <c r="E1604" s="181">
        <v>0.5</v>
      </c>
    </row>
    <row r="1605" spans="2:5" ht="12.75" x14ac:dyDescent="0.2">
      <c r="B1605" s="179" t="s">
        <v>1888</v>
      </c>
      <c r="C1605" s="180" t="s">
        <v>1365</v>
      </c>
      <c r="D1605" s="179" t="s">
        <v>216</v>
      </c>
      <c r="E1605" s="181">
        <v>0.5</v>
      </c>
    </row>
    <row r="1606" spans="2:5" ht="12.75" x14ac:dyDescent="0.2">
      <c r="B1606" s="179" t="s">
        <v>1889</v>
      </c>
      <c r="C1606" s="180" t="s">
        <v>1365</v>
      </c>
      <c r="D1606" s="179" t="s">
        <v>216</v>
      </c>
      <c r="E1606" s="181">
        <v>0.5</v>
      </c>
    </row>
    <row r="1607" spans="2:5" ht="12.75" x14ac:dyDescent="0.2">
      <c r="B1607" s="179" t="s">
        <v>1890</v>
      </c>
      <c r="C1607" s="180" t="s">
        <v>1365</v>
      </c>
      <c r="D1607" s="179" t="s">
        <v>216</v>
      </c>
      <c r="E1607" s="181">
        <v>0.5</v>
      </c>
    </row>
    <row r="1608" spans="2:5" ht="12.75" x14ac:dyDescent="0.2">
      <c r="B1608" s="179" t="s">
        <v>1891</v>
      </c>
      <c r="C1608" s="180" t="s">
        <v>1365</v>
      </c>
      <c r="D1608" s="179" t="s">
        <v>216</v>
      </c>
      <c r="E1608" s="181">
        <v>0.5</v>
      </c>
    </row>
    <row r="1609" spans="2:5" ht="12.75" x14ac:dyDescent="0.2">
      <c r="B1609" s="179" t="s">
        <v>1892</v>
      </c>
      <c r="C1609" s="180" t="s">
        <v>1365</v>
      </c>
      <c r="D1609" s="179" t="s">
        <v>216</v>
      </c>
      <c r="E1609" s="181">
        <v>0.5</v>
      </c>
    </row>
    <row r="1610" spans="2:5" ht="12.75" x14ac:dyDescent="0.2">
      <c r="B1610" s="179" t="s">
        <v>1893</v>
      </c>
      <c r="C1610" s="180" t="s">
        <v>1365</v>
      </c>
      <c r="D1610" s="179" t="s">
        <v>216</v>
      </c>
      <c r="E1610" s="181">
        <v>0.5</v>
      </c>
    </row>
    <row r="1611" spans="2:5" ht="12.75" x14ac:dyDescent="0.2">
      <c r="B1611" s="179" t="s">
        <v>1894</v>
      </c>
      <c r="C1611" s="180" t="s">
        <v>1365</v>
      </c>
      <c r="D1611" s="179" t="s">
        <v>216</v>
      </c>
      <c r="E1611" s="181">
        <v>0.5</v>
      </c>
    </row>
    <row r="1612" spans="2:5" ht="12.75" x14ac:dyDescent="0.2">
      <c r="B1612" s="179" t="s">
        <v>1895</v>
      </c>
      <c r="C1612" s="180" t="s">
        <v>1365</v>
      </c>
      <c r="D1612" s="179" t="s">
        <v>216</v>
      </c>
      <c r="E1612" s="181">
        <v>0.5</v>
      </c>
    </row>
    <row r="1613" spans="2:5" ht="12.75" x14ac:dyDescent="0.2">
      <c r="B1613" s="179" t="s">
        <v>1896</v>
      </c>
      <c r="C1613" s="180" t="s">
        <v>1365</v>
      </c>
      <c r="D1613" s="179" t="s">
        <v>216</v>
      </c>
      <c r="E1613" s="181">
        <v>0.5</v>
      </c>
    </row>
    <row r="1614" spans="2:5" ht="12.75" x14ac:dyDescent="0.2">
      <c r="B1614" s="179" t="s">
        <v>1897</v>
      </c>
      <c r="C1614" s="180" t="s">
        <v>1365</v>
      </c>
      <c r="D1614" s="179" t="s">
        <v>216</v>
      </c>
      <c r="E1614" s="181">
        <v>0.5</v>
      </c>
    </row>
    <row r="1615" spans="2:5" ht="12.75" x14ac:dyDescent="0.2">
      <c r="B1615" s="179" t="s">
        <v>1898</v>
      </c>
      <c r="C1615" s="180" t="s">
        <v>1365</v>
      </c>
      <c r="D1615" s="179" t="s">
        <v>216</v>
      </c>
      <c r="E1615" s="181">
        <v>0.5</v>
      </c>
    </row>
    <row r="1616" spans="2:5" ht="12.75" x14ac:dyDescent="0.2">
      <c r="B1616" s="179" t="s">
        <v>1899</v>
      </c>
      <c r="C1616" s="180" t="s">
        <v>1365</v>
      </c>
      <c r="D1616" s="179" t="s">
        <v>216</v>
      </c>
      <c r="E1616" s="181">
        <v>0.5</v>
      </c>
    </row>
    <row r="1617" spans="2:5" ht="12.75" x14ac:dyDescent="0.2">
      <c r="B1617" s="179" t="s">
        <v>1900</v>
      </c>
      <c r="C1617" s="180" t="s">
        <v>1365</v>
      </c>
      <c r="D1617" s="179" t="s">
        <v>216</v>
      </c>
      <c r="E1617" s="181">
        <v>0.5</v>
      </c>
    </row>
    <row r="1618" spans="2:5" ht="12.75" x14ac:dyDescent="0.2">
      <c r="B1618" s="179" t="s">
        <v>1901</v>
      </c>
      <c r="C1618" s="180" t="s">
        <v>1365</v>
      </c>
      <c r="D1618" s="179" t="s">
        <v>216</v>
      </c>
      <c r="E1618" s="181">
        <v>0.5</v>
      </c>
    </row>
    <row r="1619" spans="2:5" ht="12.75" x14ac:dyDescent="0.2">
      <c r="B1619" s="179" t="s">
        <v>1902</v>
      </c>
      <c r="C1619" s="180" t="s">
        <v>1365</v>
      </c>
      <c r="D1619" s="179" t="s">
        <v>216</v>
      </c>
      <c r="E1619" s="181">
        <v>0.5</v>
      </c>
    </row>
    <row r="1620" spans="2:5" ht="12.75" x14ac:dyDescent="0.2">
      <c r="B1620" s="179" t="s">
        <v>1903</v>
      </c>
      <c r="C1620" s="180" t="s">
        <v>1365</v>
      </c>
      <c r="D1620" s="179" t="s">
        <v>216</v>
      </c>
      <c r="E1620" s="181">
        <v>0.5</v>
      </c>
    </row>
    <row r="1621" spans="2:5" ht="12.75" x14ac:dyDescent="0.2">
      <c r="B1621" s="179" t="s">
        <v>1904</v>
      </c>
      <c r="C1621" s="180" t="s">
        <v>1365</v>
      </c>
      <c r="D1621" s="179" t="s">
        <v>216</v>
      </c>
      <c r="E1621" s="181">
        <v>0.5</v>
      </c>
    </row>
    <row r="1622" spans="2:5" ht="12.75" x14ac:dyDescent="0.2">
      <c r="B1622" s="179" t="s">
        <v>1905</v>
      </c>
      <c r="C1622" s="180" t="s">
        <v>1365</v>
      </c>
      <c r="D1622" s="179" t="s">
        <v>216</v>
      </c>
      <c r="E1622" s="181">
        <v>0.5</v>
      </c>
    </row>
    <row r="1623" spans="2:5" ht="12.75" x14ac:dyDescent="0.2">
      <c r="B1623" s="179" t="s">
        <v>1906</v>
      </c>
      <c r="C1623" s="180" t="s">
        <v>1365</v>
      </c>
      <c r="D1623" s="179" t="s">
        <v>216</v>
      </c>
      <c r="E1623" s="181">
        <v>0.5</v>
      </c>
    </row>
    <row r="1624" spans="2:5" ht="12.75" x14ac:dyDescent="0.2">
      <c r="B1624" s="179" t="s">
        <v>1907</v>
      </c>
      <c r="C1624" s="180" t="s">
        <v>1365</v>
      </c>
      <c r="D1624" s="179" t="s">
        <v>216</v>
      </c>
      <c r="E1624" s="181">
        <v>0.5</v>
      </c>
    </row>
    <row r="1625" spans="2:5" ht="12.75" x14ac:dyDescent="0.2">
      <c r="B1625" s="179" t="s">
        <v>1908</v>
      </c>
      <c r="C1625" s="180" t="s">
        <v>1365</v>
      </c>
      <c r="D1625" s="179" t="s">
        <v>216</v>
      </c>
      <c r="E1625" s="181">
        <v>0.5</v>
      </c>
    </row>
    <row r="1626" spans="2:5" ht="12.75" x14ac:dyDescent="0.2">
      <c r="B1626" s="179" t="s">
        <v>1909</v>
      </c>
      <c r="C1626" s="180" t="s">
        <v>1365</v>
      </c>
      <c r="D1626" s="179" t="s">
        <v>216</v>
      </c>
      <c r="E1626" s="181">
        <v>0.5</v>
      </c>
    </row>
    <row r="1627" spans="2:5" ht="12.75" x14ac:dyDescent="0.2">
      <c r="B1627" s="179" t="s">
        <v>1910</v>
      </c>
      <c r="C1627" s="180" t="s">
        <v>1365</v>
      </c>
      <c r="D1627" s="179" t="s">
        <v>216</v>
      </c>
      <c r="E1627" s="181">
        <v>0.5</v>
      </c>
    </row>
    <row r="1628" spans="2:5" ht="12.75" x14ac:dyDescent="0.2">
      <c r="B1628" s="179" t="s">
        <v>1911</v>
      </c>
      <c r="C1628" s="180" t="s">
        <v>1365</v>
      </c>
      <c r="D1628" s="179" t="s">
        <v>216</v>
      </c>
      <c r="E1628" s="181">
        <v>0.5</v>
      </c>
    </row>
    <row r="1629" spans="2:5" ht="12.75" x14ac:dyDescent="0.2">
      <c r="B1629" s="179" t="s">
        <v>1912</v>
      </c>
      <c r="C1629" s="180" t="s">
        <v>1365</v>
      </c>
      <c r="D1629" s="179" t="s">
        <v>216</v>
      </c>
      <c r="E1629" s="181">
        <v>0.5</v>
      </c>
    </row>
    <row r="1630" spans="2:5" ht="12.75" x14ac:dyDescent="0.2">
      <c r="B1630" s="179" t="s">
        <v>1913</v>
      </c>
      <c r="C1630" s="180" t="s">
        <v>1365</v>
      </c>
      <c r="D1630" s="179" t="s">
        <v>216</v>
      </c>
      <c r="E1630" s="181">
        <v>0.5</v>
      </c>
    </row>
    <row r="1631" spans="2:5" ht="12.75" x14ac:dyDescent="0.2">
      <c r="B1631" s="179" t="s">
        <v>1914</v>
      </c>
      <c r="C1631" s="180" t="s">
        <v>1365</v>
      </c>
      <c r="D1631" s="179" t="s">
        <v>216</v>
      </c>
      <c r="E1631" s="181">
        <v>0.5</v>
      </c>
    </row>
    <row r="1632" spans="2:5" ht="12.75" x14ac:dyDescent="0.2">
      <c r="B1632" s="179" t="s">
        <v>1915</v>
      </c>
      <c r="C1632" s="180" t="s">
        <v>1365</v>
      </c>
      <c r="D1632" s="179" t="s">
        <v>216</v>
      </c>
      <c r="E1632" s="181">
        <v>0.5</v>
      </c>
    </row>
    <row r="1633" spans="2:5" ht="12.75" x14ac:dyDescent="0.2">
      <c r="B1633" s="179" t="s">
        <v>1916</v>
      </c>
      <c r="C1633" s="180" t="s">
        <v>1365</v>
      </c>
      <c r="D1633" s="179" t="s">
        <v>216</v>
      </c>
      <c r="E1633" s="181">
        <v>0.5</v>
      </c>
    </row>
    <row r="1634" spans="2:5" ht="12.75" x14ac:dyDescent="0.2">
      <c r="B1634" s="179" t="s">
        <v>1917</v>
      </c>
      <c r="C1634" s="180" t="s">
        <v>1365</v>
      </c>
      <c r="D1634" s="179" t="s">
        <v>216</v>
      </c>
      <c r="E1634" s="181">
        <v>0.5</v>
      </c>
    </row>
    <row r="1635" spans="2:5" ht="12.75" x14ac:dyDescent="0.2">
      <c r="B1635" s="179" t="s">
        <v>1918</v>
      </c>
      <c r="C1635" s="180" t="s">
        <v>1365</v>
      </c>
      <c r="D1635" s="179" t="s">
        <v>216</v>
      </c>
      <c r="E1635" s="181">
        <v>0.5</v>
      </c>
    </row>
    <row r="1636" spans="2:5" ht="12.75" x14ac:dyDescent="0.2">
      <c r="B1636" s="179" t="s">
        <v>1919</v>
      </c>
      <c r="C1636" s="180" t="s">
        <v>1365</v>
      </c>
      <c r="D1636" s="179" t="s">
        <v>216</v>
      </c>
      <c r="E1636" s="181">
        <v>0.5</v>
      </c>
    </row>
    <row r="1637" spans="2:5" ht="12.75" x14ac:dyDescent="0.2">
      <c r="B1637" s="179" t="s">
        <v>1920</v>
      </c>
      <c r="C1637" s="180" t="s">
        <v>1365</v>
      </c>
      <c r="D1637" s="179" t="s">
        <v>216</v>
      </c>
      <c r="E1637" s="181">
        <v>0.5</v>
      </c>
    </row>
    <row r="1638" spans="2:5" ht="12.75" x14ac:dyDescent="0.2">
      <c r="B1638" s="179" t="s">
        <v>1921</v>
      </c>
      <c r="C1638" s="180" t="s">
        <v>1365</v>
      </c>
      <c r="D1638" s="179" t="s">
        <v>216</v>
      </c>
      <c r="E1638" s="181">
        <v>0.5</v>
      </c>
    </row>
    <row r="1639" spans="2:5" ht="12.75" x14ac:dyDescent="0.2">
      <c r="B1639" s="179" t="s">
        <v>1922</v>
      </c>
      <c r="C1639" s="180" t="s">
        <v>1923</v>
      </c>
      <c r="D1639" s="179" t="s">
        <v>214</v>
      </c>
      <c r="E1639" s="181">
        <v>1</v>
      </c>
    </row>
    <row r="1640" spans="2:5" ht="12.75" x14ac:dyDescent="0.2">
      <c r="B1640" s="179" t="s">
        <v>1922</v>
      </c>
      <c r="C1640" s="180" t="s">
        <v>1923</v>
      </c>
      <c r="D1640" s="179" t="s">
        <v>216</v>
      </c>
      <c r="E1640" s="181">
        <v>1</v>
      </c>
    </row>
    <row r="1641" spans="2:5" ht="12.75" x14ac:dyDescent="0.2">
      <c r="B1641" s="179" t="s">
        <v>1924</v>
      </c>
      <c r="C1641" s="180" t="s">
        <v>1925</v>
      </c>
      <c r="D1641" s="179" t="s">
        <v>214</v>
      </c>
      <c r="E1641" s="181">
        <v>0.5</v>
      </c>
    </row>
    <row r="1642" spans="2:5" ht="12.75" x14ac:dyDescent="0.2">
      <c r="B1642" s="179" t="s">
        <v>1926</v>
      </c>
      <c r="C1642" s="180" t="s">
        <v>1925</v>
      </c>
      <c r="D1642" s="179" t="s">
        <v>216</v>
      </c>
      <c r="E1642" s="181">
        <v>0.5</v>
      </c>
    </row>
    <row r="1643" spans="2:5" ht="12.75" x14ac:dyDescent="0.2">
      <c r="B1643" s="179" t="s">
        <v>1927</v>
      </c>
      <c r="C1643" s="180" t="s">
        <v>1925</v>
      </c>
      <c r="D1643" s="179" t="s">
        <v>216</v>
      </c>
      <c r="E1643" s="181">
        <v>0.5</v>
      </c>
    </row>
    <row r="1644" spans="2:5" ht="12.75" x14ac:dyDescent="0.2">
      <c r="B1644" s="179" t="s">
        <v>1928</v>
      </c>
      <c r="C1644" s="180" t="s">
        <v>1929</v>
      </c>
      <c r="D1644" s="179" t="s">
        <v>214</v>
      </c>
      <c r="E1644" s="181">
        <v>0.5</v>
      </c>
    </row>
    <row r="1645" spans="2:5" ht="12.75" x14ac:dyDescent="0.2">
      <c r="B1645" s="179" t="s">
        <v>1930</v>
      </c>
      <c r="C1645" s="180" t="s">
        <v>1929</v>
      </c>
      <c r="D1645" s="179" t="s">
        <v>216</v>
      </c>
      <c r="E1645" s="181">
        <v>0.5</v>
      </c>
    </row>
    <row r="1646" spans="2:5" ht="12.75" x14ac:dyDescent="0.2">
      <c r="B1646" s="179" t="s">
        <v>1931</v>
      </c>
      <c r="C1646" s="180" t="s">
        <v>1932</v>
      </c>
      <c r="D1646" s="179" t="s">
        <v>214</v>
      </c>
      <c r="E1646" s="181">
        <v>0.5</v>
      </c>
    </row>
    <row r="1647" spans="2:5" ht="12.75" x14ac:dyDescent="0.2">
      <c r="B1647" s="179" t="s">
        <v>1933</v>
      </c>
      <c r="C1647" s="180" t="s">
        <v>1932</v>
      </c>
      <c r="D1647" s="179" t="s">
        <v>216</v>
      </c>
      <c r="E1647" s="181">
        <v>0.5</v>
      </c>
    </row>
    <row r="1648" spans="2:5" ht="12.75" x14ac:dyDescent="0.2">
      <c r="B1648" s="179" t="s">
        <v>1934</v>
      </c>
      <c r="C1648" s="180" t="s">
        <v>1935</v>
      </c>
      <c r="D1648" s="179" t="s">
        <v>214</v>
      </c>
      <c r="E1648" s="181">
        <v>0.5</v>
      </c>
    </row>
    <row r="1649" spans="2:5" ht="12.75" x14ac:dyDescent="0.2">
      <c r="B1649" s="179" t="s">
        <v>1934</v>
      </c>
      <c r="C1649" s="180" t="s">
        <v>1935</v>
      </c>
      <c r="D1649" s="179" t="s">
        <v>214</v>
      </c>
      <c r="E1649" s="181">
        <v>0.5</v>
      </c>
    </row>
    <row r="1650" spans="2:5" ht="12.75" x14ac:dyDescent="0.2">
      <c r="B1650" s="179" t="s">
        <v>1936</v>
      </c>
      <c r="C1650" s="180" t="s">
        <v>1935</v>
      </c>
      <c r="D1650" s="179" t="s">
        <v>216</v>
      </c>
      <c r="E1650" s="181">
        <v>0.5</v>
      </c>
    </row>
    <row r="1651" spans="2:5" ht="12.75" x14ac:dyDescent="0.2">
      <c r="B1651" s="179" t="s">
        <v>1937</v>
      </c>
      <c r="C1651" s="180" t="s">
        <v>1935</v>
      </c>
      <c r="D1651" s="179" t="s">
        <v>216</v>
      </c>
      <c r="E1651" s="181">
        <v>0.5</v>
      </c>
    </row>
    <row r="1652" spans="2:5" ht="12.75" x14ac:dyDescent="0.2">
      <c r="B1652" s="179" t="s">
        <v>1938</v>
      </c>
      <c r="C1652" s="180" t="s">
        <v>1935</v>
      </c>
      <c r="D1652" s="179" t="s">
        <v>216</v>
      </c>
      <c r="E1652" s="181">
        <v>0.5</v>
      </c>
    </row>
    <row r="1653" spans="2:5" ht="12.75" x14ac:dyDescent="0.2">
      <c r="B1653" s="179" t="s">
        <v>1939</v>
      </c>
      <c r="C1653" s="180" t="s">
        <v>1935</v>
      </c>
      <c r="D1653" s="179" t="s">
        <v>216</v>
      </c>
      <c r="E1653" s="181">
        <v>0.5</v>
      </c>
    </row>
    <row r="1654" spans="2:5" ht="12.75" x14ac:dyDescent="0.2">
      <c r="B1654" s="179" t="s">
        <v>1940</v>
      </c>
      <c r="C1654" s="180" t="s">
        <v>1935</v>
      </c>
      <c r="D1654" s="179" t="s">
        <v>216</v>
      </c>
      <c r="E1654" s="181">
        <v>0.5</v>
      </c>
    </row>
    <row r="1655" spans="2:5" ht="12.75" x14ac:dyDescent="0.2">
      <c r="B1655" s="179" t="s">
        <v>1941</v>
      </c>
      <c r="C1655" s="180" t="s">
        <v>1935</v>
      </c>
      <c r="D1655" s="179" t="s">
        <v>216</v>
      </c>
      <c r="E1655" s="181">
        <v>0.5</v>
      </c>
    </row>
    <row r="1656" spans="2:5" ht="12.75" x14ac:dyDescent="0.2">
      <c r="B1656" s="179" t="s">
        <v>1942</v>
      </c>
      <c r="C1656" s="180" t="s">
        <v>1935</v>
      </c>
      <c r="D1656" s="179" t="s">
        <v>216</v>
      </c>
      <c r="E1656" s="181">
        <v>0.5</v>
      </c>
    </row>
    <row r="1657" spans="2:5" ht="12.75" x14ac:dyDescent="0.2">
      <c r="B1657" s="179" t="s">
        <v>1943</v>
      </c>
      <c r="C1657" s="180" t="s">
        <v>1935</v>
      </c>
      <c r="D1657" s="179" t="s">
        <v>216</v>
      </c>
      <c r="E1657" s="181">
        <v>0.5</v>
      </c>
    </row>
    <row r="1658" spans="2:5" ht="12.75" x14ac:dyDescent="0.2">
      <c r="B1658" s="179" t="s">
        <v>1944</v>
      </c>
      <c r="C1658" s="180" t="s">
        <v>1935</v>
      </c>
      <c r="D1658" s="179" t="s">
        <v>216</v>
      </c>
      <c r="E1658" s="181">
        <v>0.5</v>
      </c>
    </row>
    <row r="1659" spans="2:5" ht="12.75" x14ac:dyDescent="0.2">
      <c r="B1659" s="179" t="s">
        <v>1945</v>
      </c>
      <c r="C1659" s="180" t="s">
        <v>1935</v>
      </c>
      <c r="D1659" s="179" t="s">
        <v>216</v>
      </c>
      <c r="E1659" s="181">
        <v>0.5</v>
      </c>
    </row>
    <row r="1660" spans="2:5" ht="12.75" x14ac:dyDescent="0.2">
      <c r="B1660" s="179" t="s">
        <v>1946</v>
      </c>
      <c r="C1660" s="180" t="s">
        <v>1935</v>
      </c>
      <c r="D1660" s="179" t="s">
        <v>216</v>
      </c>
      <c r="E1660" s="181">
        <v>0.5</v>
      </c>
    </row>
    <row r="1661" spans="2:5" ht="12.75" x14ac:dyDescent="0.2">
      <c r="B1661" s="179" t="s">
        <v>1947</v>
      </c>
      <c r="C1661" s="180" t="s">
        <v>1935</v>
      </c>
      <c r="D1661" s="179" t="s">
        <v>216</v>
      </c>
      <c r="E1661" s="181">
        <v>0.5</v>
      </c>
    </row>
    <row r="1662" spans="2:5" ht="12.75" x14ac:dyDescent="0.2">
      <c r="B1662" s="179" t="s">
        <v>1948</v>
      </c>
      <c r="C1662" s="180" t="s">
        <v>1935</v>
      </c>
      <c r="D1662" s="179" t="s">
        <v>216</v>
      </c>
      <c r="E1662" s="181">
        <v>0.5</v>
      </c>
    </row>
    <row r="1663" spans="2:5" ht="12.75" x14ac:dyDescent="0.2">
      <c r="B1663" s="179" t="s">
        <v>1949</v>
      </c>
      <c r="C1663" s="180" t="s">
        <v>1935</v>
      </c>
      <c r="D1663" s="179" t="s">
        <v>216</v>
      </c>
      <c r="E1663" s="181">
        <v>0.5</v>
      </c>
    </row>
    <row r="1664" spans="2:5" ht="12.75" x14ac:dyDescent="0.2">
      <c r="B1664" s="179" t="s">
        <v>1950</v>
      </c>
      <c r="C1664" s="180" t="s">
        <v>1935</v>
      </c>
      <c r="D1664" s="179" t="s">
        <v>216</v>
      </c>
      <c r="E1664" s="181">
        <v>0.5</v>
      </c>
    </row>
    <row r="1665" spans="2:5" ht="12.75" x14ac:dyDescent="0.2">
      <c r="B1665" s="179" t="s">
        <v>1951</v>
      </c>
      <c r="C1665" s="180" t="s">
        <v>1935</v>
      </c>
      <c r="D1665" s="179" t="s">
        <v>216</v>
      </c>
      <c r="E1665" s="181">
        <v>0.5</v>
      </c>
    </row>
    <row r="1666" spans="2:5" ht="12.75" x14ac:dyDescent="0.2">
      <c r="B1666" s="179" t="s">
        <v>1952</v>
      </c>
      <c r="C1666" s="180" t="s">
        <v>1935</v>
      </c>
      <c r="D1666" s="179" t="s">
        <v>216</v>
      </c>
      <c r="E1666" s="181">
        <v>0.5</v>
      </c>
    </row>
    <row r="1667" spans="2:5" ht="12.75" x14ac:dyDescent="0.2">
      <c r="B1667" s="179" t="s">
        <v>1953</v>
      </c>
      <c r="C1667" s="180" t="s">
        <v>1935</v>
      </c>
      <c r="D1667" s="179" t="s">
        <v>216</v>
      </c>
      <c r="E1667" s="181">
        <v>0.5</v>
      </c>
    </row>
    <row r="1668" spans="2:5" ht="12.75" x14ac:dyDescent="0.2">
      <c r="B1668" s="179" t="s">
        <v>1954</v>
      </c>
      <c r="C1668" s="180" t="s">
        <v>1935</v>
      </c>
      <c r="D1668" s="179" t="s">
        <v>216</v>
      </c>
      <c r="E1668" s="181">
        <v>0.5</v>
      </c>
    </row>
    <row r="1669" spans="2:5" ht="12.75" x14ac:dyDescent="0.2">
      <c r="B1669" s="179" t="s">
        <v>1955</v>
      </c>
      <c r="C1669" s="180" t="s">
        <v>1935</v>
      </c>
      <c r="D1669" s="179" t="s">
        <v>216</v>
      </c>
      <c r="E1669" s="181">
        <v>0.5</v>
      </c>
    </row>
    <row r="1670" spans="2:5" ht="12.75" x14ac:dyDescent="0.2">
      <c r="B1670" s="179" t="s">
        <v>1956</v>
      </c>
      <c r="C1670" s="180" t="s">
        <v>1935</v>
      </c>
      <c r="D1670" s="179" t="s">
        <v>216</v>
      </c>
      <c r="E1670" s="181">
        <v>0.5</v>
      </c>
    </row>
    <row r="1671" spans="2:5" ht="12.75" x14ac:dyDescent="0.2">
      <c r="B1671" s="179" t="s">
        <v>1957</v>
      </c>
      <c r="C1671" s="180" t="s">
        <v>1935</v>
      </c>
      <c r="D1671" s="179" t="s">
        <v>216</v>
      </c>
      <c r="E1671" s="181">
        <v>0.5</v>
      </c>
    </row>
    <row r="1672" spans="2:5" ht="12.75" x14ac:dyDescent="0.2">
      <c r="B1672" s="179" t="s">
        <v>1958</v>
      </c>
      <c r="C1672" s="180" t="s">
        <v>1935</v>
      </c>
      <c r="D1672" s="179" t="s">
        <v>216</v>
      </c>
      <c r="E1672" s="181">
        <v>0.5</v>
      </c>
    </row>
    <row r="1673" spans="2:5" ht="12.75" x14ac:dyDescent="0.2">
      <c r="B1673" s="179" t="s">
        <v>1959</v>
      </c>
      <c r="C1673" s="180" t="s">
        <v>1935</v>
      </c>
      <c r="D1673" s="179" t="s">
        <v>216</v>
      </c>
      <c r="E1673" s="181">
        <v>0.5</v>
      </c>
    </row>
    <row r="1674" spans="2:5" ht="12.75" x14ac:dyDescent="0.2">
      <c r="B1674" s="179" t="s">
        <v>1960</v>
      </c>
      <c r="C1674" s="180" t="s">
        <v>1935</v>
      </c>
      <c r="D1674" s="179" t="s">
        <v>216</v>
      </c>
      <c r="E1674" s="181">
        <v>0.5</v>
      </c>
    </row>
    <row r="1675" spans="2:5" ht="12.75" x14ac:dyDescent="0.2">
      <c r="B1675" s="179" t="s">
        <v>1961</v>
      </c>
      <c r="C1675" s="180" t="s">
        <v>1935</v>
      </c>
      <c r="D1675" s="179" t="s">
        <v>216</v>
      </c>
      <c r="E1675" s="181">
        <v>0.5</v>
      </c>
    </row>
    <row r="1676" spans="2:5" ht="12.75" x14ac:dyDescent="0.2">
      <c r="B1676" s="179" t="s">
        <v>1962</v>
      </c>
      <c r="C1676" s="180" t="s">
        <v>1963</v>
      </c>
      <c r="D1676" s="179" t="s">
        <v>214</v>
      </c>
      <c r="E1676" s="181">
        <v>0.5</v>
      </c>
    </row>
    <row r="1677" spans="2:5" ht="12.75" x14ac:dyDescent="0.2">
      <c r="B1677" s="179" t="s">
        <v>1964</v>
      </c>
      <c r="C1677" s="180" t="s">
        <v>1965</v>
      </c>
      <c r="D1677" s="179" t="s">
        <v>214</v>
      </c>
      <c r="E1677" s="181">
        <v>0.5</v>
      </c>
    </row>
    <row r="1678" spans="2:5" ht="12.75" x14ac:dyDescent="0.2">
      <c r="B1678" s="179" t="s">
        <v>1966</v>
      </c>
      <c r="C1678" s="180" t="s">
        <v>1965</v>
      </c>
      <c r="D1678" s="179" t="s">
        <v>216</v>
      </c>
      <c r="E1678" s="181">
        <v>0.5</v>
      </c>
    </row>
    <row r="1679" spans="2:5" ht="12.75" x14ac:dyDescent="0.2">
      <c r="B1679" s="179" t="s">
        <v>1967</v>
      </c>
      <c r="C1679" s="180" t="s">
        <v>1965</v>
      </c>
      <c r="D1679" s="179" t="s">
        <v>216</v>
      </c>
      <c r="E1679" s="181">
        <v>0.5</v>
      </c>
    </row>
    <row r="1680" spans="2:5" ht="12.75" x14ac:dyDescent="0.2">
      <c r="B1680" s="179" t="s">
        <v>1968</v>
      </c>
      <c r="C1680" s="180" t="s">
        <v>1969</v>
      </c>
      <c r="D1680" s="179" t="s">
        <v>214</v>
      </c>
      <c r="E1680" s="181">
        <v>0.5</v>
      </c>
    </row>
    <row r="1681" spans="2:5" ht="12.75" x14ac:dyDescent="0.2">
      <c r="B1681" s="179" t="s">
        <v>1970</v>
      </c>
      <c r="C1681" s="180" t="s">
        <v>1969</v>
      </c>
      <c r="D1681" s="179" t="s">
        <v>216</v>
      </c>
      <c r="E1681" s="181">
        <v>0.5</v>
      </c>
    </row>
    <row r="1682" spans="2:5" ht="12.75" x14ac:dyDescent="0.2">
      <c r="B1682" s="179" t="s">
        <v>1971</v>
      </c>
      <c r="C1682" s="180" t="s">
        <v>1969</v>
      </c>
      <c r="D1682" s="179" t="s">
        <v>216</v>
      </c>
      <c r="E1682" s="181">
        <v>0.5</v>
      </c>
    </row>
    <row r="1683" spans="2:5" ht="12.75" x14ac:dyDescent="0.2">
      <c r="B1683" s="179" t="s">
        <v>1971</v>
      </c>
      <c r="C1683" s="180" t="s">
        <v>1969</v>
      </c>
      <c r="D1683" s="179" t="s">
        <v>216</v>
      </c>
      <c r="E1683" s="181">
        <v>0.5</v>
      </c>
    </row>
    <row r="1684" spans="2:5" ht="12.75" x14ac:dyDescent="0.2">
      <c r="B1684" s="179" t="s">
        <v>1972</v>
      </c>
      <c r="C1684" s="180" t="s">
        <v>1969</v>
      </c>
      <c r="D1684" s="179" t="s">
        <v>216</v>
      </c>
      <c r="E1684" s="181">
        <v>0.5</v>
      </c>
    </row>
    <row r="1685" spans="2:5" ht="12.75" x14ac:dyDescent="0.2">
      <c r="B1685" s="179" t="s">
        <v>1972</v>
      </c>
      <c r="C1685" s="180" t="s">
        <v>1969</v>
      </c>
      <c r="D1685" s="179" t="s">
        <v>216</v>
      </c>
      <c r="E1685" s="181">
        <v>0.5</v>
      </c>
    </row>
    <row r="1686" spans="2:5" ht="12.75" x14ac:dyDescent="0.2">
      <c r="B1686" s="179" t="s">
        <v>1973</v>
      </c>
      <c r="C1686" s="180" t="s">
        <v>1969</v>
      </c>
      <c r="D1686" s="179" t="s">
        <v>216</v>
      </c>
      <c r="E1686" s="181">
        <v>0.5</v>
      </c>
    </row>
    <row r="1687" spans="2:5" ht="12.75" x14ac:dyDescent="0.2">
      <c r="B1687" s="179" t="s">
        <v>1973</v>
      </c>
      <c r="C1687" s="180" t="s">
        <v>1969</v>
      </c>
      <c r="D1687" s="179" t="s">
        <v>216</v>
      </c>
      <c r="E1687" s="181">
        <v>0.5</v>
      </c>
    </row>
    <row r="1688" spans="2:5" ht="12.75" x14ac:dyDescent="0.2">
      <c r="B1688" s="179" t="s">
        <v>1974</v>
      </c>
      <c r="C1688" s="180" t="s">
        <v>1969</v>
      </c>
      <c r="D1688" s="179" t="s">
        <v>216</v>
      </c>
      <c r="E1688" s="181">
        <v>0.5</v>
      </c>
    </row>
    <row r="1689" spans="2:5" ht="12.75" x14ac:dyDescent="0.2">
      <c r="B1689" s="179" t="s">
        <v>1975</v>
      </c>
      <c r="C1689" s="180" t="s">
        <v>1969</v>
      </c>
      <c r="D1689" s="179" t="s">
        <v>216</v>
      </c>
      <c r="E1689" s="181">
        <v>0.5</v>
      </c>
    </row>
    <row r="1690" spans="2:5" ht="12.75" x14ac:dyDescent="0.2">
      <c r="B1690" s="179" t="s">
        <v>1975</v>
      </c>
      <c r="C1690" s="180" t="s">
        <v>1969</v>
      </c>
      <c r="D1690" s="179" t="s">
        <v>216</v>
      </c>
      <c r="E1690" s="181">
        <v>0.5</v>
      </c>
    </row>
    <row r="1691" spans="2:5" ht="12.75" x14ac:dyDescent="0.2">
      <c r="B1691" s="179" t="s">
        <v>1976</v>
      </c>
      <c r="C1691" s="180" t="s">
        <v>1969</v>
      </c>
      <c r="D1691" s="179" t="s">
        <v>216</v>
      </c>
      <c r="E1691" s="181">
        <v>0.5</v>
      </c>
    </row>
    <row r="1692" spans="2:5" ht="12.75" x14ac:dyDescent="0.2">
      <c r="B1692" s="179" t="s">
        <v>1977</v>
      </c>
      <c r="C1692" s="180" t="s">
        <v>1969</v>
      </c>
      <c r="D1692" s="179" t="s">
        <v>216</v>
      </c>
      <c r="E1692" s="181">
        <v>0.5</v>
      </c>
    </row>
    <row r="1693" spans="2:5" ht="12.75" x14ac:dyDescent="0.2">
      <c r="B1693" s="179" t="s">
        <v>1977</v>
      </c>
      <c r="C1693" s="180" t="s">
        <v>1969</v>
      </c>
      <c r="D1693" s="179" t="s">
        <v>216</v>
      </c>
      <c r="E1693" s="181">
        <v>0.5</v>
      </c>
    </row>
    <row r="1694" spans="2:5" ht="12.75" x14ac:dyDescent="0.2">
      <c r="B1694" s="179" t="s">
        <v>1978</v>
      </c>
      <c r="C1694" s="180" t="s">
        <v>1969</v>
      </c>
      <c r="D1694" s="179" t="s">
        <v>216</v>
      </c>
      <c r="E1694" s="181">
        <v>0.5</v>
      </c>
    </row>
    <row r="1695" spans="2:5" ht="12.75" x14ac:dyDescent="0.2">
      <c r="B1695" s="179" t="s">
        <v>1979</v>
      </c>
      <c r="C1695" s="180" t="s">
        <v>1969</v>
      </c>
      <c r="D1695" s="179" t="s">
        <v>216</v>
      </c>
      <c r="E1695" s="181">
        <v>0.5</v>
      </c>
    </row>
    <row r="1696" spans="2:5" ht="12.75" x14ac:dyDescent="0.2">
      <c r="B1696" s="179" t="s">
        <v>1980</v>
      </c>
      <c r="C1696" s="180" t="s">
        <v>1969</v>
      </c>
      <c r="D1696" s="179" t="s">
        <v>216</v>
      </c>
      <c r="E1696" s="181">
        <v>0.5</v>
      </c>
    </row>
    <row r="1697" spans="2:5" ht="12.75" x14ac:dyDescent="0.2">
      <c r="B1697" s="179" t="s">
        <v>1981</v>
      </c>
      <c r="C1697" s="180" t="s">
        <v>1969</v>
      </c>
      <c r="D1697" s="179" t="s">
        <v>216</v>
      </c>
      <c r="E1697" s="181">
        <v>0.5</v>
      </c>
    </row>
    <row r="1698" spans="2:5" ht="12.75" x14ac:dyDescent="0.2">
      <c r="B1698" s="179" t="s">
        <v>1982</v>
      </c>
      <c r="C1698" s="180" t="s">
        <v>1969</v>
      </c>
      <c r="D1698" s="179" t="s">
        <v>216</v>
      </c>
      <c r="E1698" s="181">
        <v>0.5</v>
      </c>
    </row>
    <row r="1699" spans="2:5" ht="12.75" x14ac:dyDescent="0.2">
      <c r="B1699" s="179" t="s">
        <v>1983</v>
      </c>
      <c r="C1699" s="180" t="s">
        <v>1984</v>
      </c>
      <c r="D1699" s="179" t="s">
        <v>214</v>
      </c>
      <c r="E1699" s="181">
        <v>0.1</v>
      </c>
    </row>
    <row r="1700" spans="2:5" ht="12.75" x14ac:dyDescent="0.2">
      <c r="B1700" s="179" t="s">
        <v>1985</v>
      </c>
      <c r="C1700" s="180" t="s">
        <v>1984</v>
      </c>
      <c r="D1700" s="179" t="s">
        <v>216</v>
      </c>
      <c r="E1700" s="181">
        <v>0.5</v>
      </c>
    </row>
    <row r="1701" spans="2:5" ht="12.75" x14ac:dyDescent="0.2">
      <c r="B1701" s="179" t="s">
        <v>1986</v>
      </c>
      <c r="C1701" s="180" t="s">
        <v>1987</v>
      </c>
      <c r="D1701" s="179" t="s">
        <v>214</v>
      </c>
      <c r="E1701" s="181">
        <v>0.1</v>
      </c>
    </row>
    <row r="1702" spans="2:5" ht="12.75" x14ac:dyDescent="0.2">
      <c r="B1702" s="179" t="s">
        <v>1988</v>
      </c>
      <c r="C1702" s="180" t="s">
        <v>1989</v>
      </c>
      <c r="D1702" s="179" t="s">
        <v>214</v>
      </c>
      <c r="E1702" s="181">
        <v>0.1</v>
      </c>
    </row>
    <row r="1703" spans="2:5" ht="12.75" x14ac:dyDescent="0.2">
      <c r="B1703" s="179" t="s">
        <v>1990</v>
      </c>
      <c r="C1703" s="180" t="s">
        <v>1989</v>
      </c>
      <c r="D1703" s="179" t="s">
        <v>216</v>
      </c>
      <c r="E1703" s="181">
        <v>0.5</v>
      </c>
    </row>
    <row r="1704" spans="2:5" ht="12.75" x14ac:dyDescent="0.2">
      <c r="B1704" s="179" t="s">
        <v>1991</v>
      </c>
      <c r="C1704" s="180" t="s">
        <v>1989</v>
      </c>
      <c r="D1704" s="179" t="s">
        <v>216</v>
      </c>
      <c r="E1704" s="181">
        <v>0.5</v>
      </c>
    </row>
    <row r="1705" spans="2:5" ht="12.75" x14ac:dyDescent="0.2">
      <c r="B1705" s="179" t="s">
        <v>1992</v>
      </c>
      <c r="C1705" s="180" t="s">
        <v>1989</v>
      </c>
      <c r="D1705" s="179" t="s">
        <v>216</v>
      </c>
      <c r="E1705" s="181">
        <v>0.5</v>
      </c>
    </row>
    <row r="1706" spans="2:5" ht="12.75" x14ac:dyDescent="0.2">
      <c r="B1706" s="179" t="s">
        <v>1993</v>
      </c>
      <c r="C1706" s="180" t="s">
        <v>1989</v>
      </c>
      <c r="D1706" s="179" t="s">
        <v>216</v>
      </c>
      <c r="E1706" s="181">
        <v>0.5</v>
      </c>
    </row>
    <row r="1707" spans="2:5" ht="12.75" x14ac:dyDescent="0.2">
      <c r="B1707" s="179" t="s">
        <v>1994</v>
      </c>
      <c r="C1707" s="180" t="s">
        <v>1989</v>
      </c>
      <c r="D1707" s="179" t="s">
        <v>216</v>
      </c>
      <c r="E1707" s="181">
        <v>0.5</v>
      </c>
    </row>
    <row r="1708" spans="2:5" ht="12.75" x14ac:dyDescent="0.2">
      <c r="B1708" s="179" t="s">
        <v>1995</v>
      </c>
      <c r="C1708" s="180" t="s">
        <v>1989</v>
      </c>
      <c r="D1708" s="179" t="s">
        <v>216</v>
      </c>
      <c r="E1708" s="181">
        <v>0.5</v>
      </c>
    </row>
    <row r="1709" spans="2:5" ht="12.75" x14ac:dyDescent="0.2">
      <c r="B1709" s="179" t="s">
        <v>1996</v>
      </c>
      <c r="C1709" s="180" t="s">
        <v>1989</v>
      </c>
      <c r="D1709" s="179" t="s">
        <v>216</v>
      </c>
      <c r="E1709" s="181">
        <v>0.5</v>
      </c>
    </row>
    <row r="1710" spans="2:5" ht="12.75" x14ac:dyDescent="0.2">
      <c r="B1710" s="179" t="s">
        <v>1997</v>
      </c>
      <c r="C1710" s="180" t="s">
        <v>1989</v>
      </c>
      <c r="D1710" s="179" t="s">
        <v>216</v>
      </c>
      <c r="E1710" s="181">
        <v>0.5</v>
      </c>
    </row>
    <row r="1711" spans="2:5" ht="12.75" x14ac:dyDescent="0.2">
      <c r="B1711" s="179" t="s">
        <v>1998</v>
      </c>
      <c r="C1711" s="180" t="s">
        <v>1999</v>
      </c>
      <c r="D1711" s="179" t="s">
        <v>214</v>
      </c>
      <c r="E1711" s="181">
        <v>0.5</v>
      </c>
    </row>
    <row r="1712" spans="2:5" ht="12.75" x14ac:dyDescent="0.2">
      <c r="B1712" s="179" t="s">
        <v>2000</v>
      </c>
      <c r="C1712" s="180" t="s">
        <v>1999</v>
      </c>
      <c r="D1712" s="179" t="s">
        <v>216</v>
      </c>
      <c r="E1712" s="181">
        <v>0.5</v>
      </c>
    </row>
    <row r="1713" spans="2:5" ht="12.75" x14ac:dyDescent="0.2">
      <c r="B1713" s="179" t="s">
        <v>2001</v>
      </c>
      <c r="C1713" s="180" t="s">
        <v>1999</v>
      </c>
      <c r="D1713" s="179" t="s">
        <v>216</v>
      </c>
      <c r="E1713" s="181">
        <v>0.5</v>
      </c>
    </row>
    <row r="1714" spans="2:5" ht="12.75" x14ac:dyDescent="0.2">
      <c r="B1714" s="179" t="s">
        <v>2002</v>
      </c>
      <c r="C1714" s="180" t="s">
        <v>1999</v>
      </c>
      <c r="D1714" s="179" t="s">
        <v>216</v>
      </c>
      <c r="E1714" s="181">
        <v>0.5</v>
      </c>
    </row>
    <row r="1715" spans="2:5" ht="12.75" x14ac:dyDescent="0.2">
      <c r="B1715" s="179" t="s">
        <v>2003</v>
      </c>
      <c r="C1715" s="180" t="s">
        <v>1999</v>
      </c>
      <c r="D1715" s="179" t="s">
        <v>216</v>
      </c>
      <c r="E1715" s="181">
        <v>0.5</v>
      </c>
    </row>
    <row r="1716" spans="2:5" ht="12.75" x14ac:dyDescent="0.2">
      <c r="B1716" s="179" t="s">
        <v>2004</v>
      </c>
      <c r="C1716" s="180" t="s">
        <v>1999</v>
      </c>
      <c r="D1716" s="179" t="s">
        <v>216</v>
      </c>
      <c r="E1716" s="181">
        <v>0.5</v>
      </c>
    </row>
    <row r="1717" spans="2:5" ht="12.75" x14ac:dyDescent="0.2">
      <c r="B1717" s="179" t="s">
        <v>2005</v>
      </c>
      <c r="C1717" s="180" t="s">
        <v>2006</v>
      </c>
      <c r="D1717" s="179" t="s">
        <v>214</v>
      </c>
      <c r="E1717" s="181">
        <v>0.1</v>
      </c>
    </row>
    <row r="1718" spans="2:5" ht="12.75" x14ac:dyDescent="0.2">
      <c r="B1718" s="179" t="s">
        <v>2007</v>
      </c>
      <c r="C1718" s="180" t="s">
        <v>2008</v>
      </c>
      <c r="D1718" s="179" t="s">
        <v>214</v>
      </c>
      <c r="E1718" s="181">
        <v>0.5</v>
      </c>
    </row>
    <row r="1719" spans="2:5" ht="12.75" x14ac:dyDescent="0.2">
      <c r="B1719" s="179" t="s">
        <v>2009</v>
      </c>
      <c r="C1719" s="180" t="s">
        <v>2008</v>
      </c>
      <c r="D1719" s="179" t="s">
        <v>216</v>
      </c>
      <c r="E1719" s="181">
        <v>2</v>
      </c>
    </row>
    <row r="1720" spans="2:5" ht="12.75" x14ac:dyDescent="0.2">
      <c r="B1720" s="179" t="s">
        <v>2010</v>
      </c>
      <c r="C1720" s="180" t="s">
        <v>2008</v>
      </c>
      <c r="D1720" s="179" t="s">
        <v>216</v>
      </c>
      <c r="E1720" s="181">
        <v>2</v>
      </c>
    </row>
    <row r="1721" spans="2:5" ht="12.75" x14ac:dyDescent="0.2">
      <c r="B1721" s="179" t="s">
        <v>2011</v>
      </c>
      <c r="C1721" s="180" t="s">
        <v>2008</v>
      </c>
      <c r="D1721" s="179" t="s">
        <v>216</v>
      </c>
      <c r="E1721" s="181">
        <v>2</v>
      </c>
    </row>
    <row r="1722" spans="2:5" ht="12.75" x14ac:dyDescent="0.2">
      <c r="B1722" s="179" t="s">
        <v>2012</v>
      </c>
      <c r="C1722" s="180" t="s">
        <v>2008</v>
      </c>
      <c r="D1722" s="179" t="s">
        <v>216</v>
      </c>
      <c r="E1722" s="181">
        <v>2</v>
      </c>
    </row>
    <row r="1723" spans="2:5" ht="12.75" x14ac:dyDescent="0.2">
      <c r="B1723" s="179" t="s">
        <v>2013</v>
      </c>
      <c r="C1723" s="180" t="s">
        <v>2008</v>
      </c>
      <c r="D1723" s="179" t="s">
        <v>216</v>
      </c>
      <c r="E1723" s="181">
        <v>2</v>
      </c>
    </row>
    <row r="1724" spans="2:5" ht="12.75" x14ac:dyDescent="0.2">
      <c r="B1724" s="179" t="s">
        <v>2014</v>
      </c>
      <c r="C1724" s="180" t="s">
        <v>2008</v>
      </c>
      <c r="D1724" s="179" t="s">
        <v>216</v>
      </c>
      <c r="E1724" s="181">
        <v>2</v>
      </c>
    </row>
    <row r="1725" spans="2:5" ht="12.75" x14ac:dyDescent="0.2">
      <c r="B1725" s="179" t="s">
        <v>2015</v>
      </c>
      <c r="C1725" s="180" t="s">
        <v>2008</v>
      </c>
      <c r="D1725" s="179" t="s">
        <v>216</v>
      </c>
      <c r="E1725" s="181">
        <v>2</v>
      </c>
    </row>
    <row r="1726" spans="2:5" ht="12.75" x14ac:dyDescent="0.2">
      <c r="B1726" s="179" t="s">
        <v>2016</v>
      </c>
      <c r="C1726" s="180" t="s">
        <v>2008</v>
      </c>
      <c r="D1726" s="179" t="s">
        <v>216</v>
      </c>
      <c r="E1726" s="181">
        <v>2</v>
      </c>
    </row>
    <row r="1727" spans="2:5" ht="12.75" x14ac:dyDescent="0.2">
      <c r="B1727" s="179" t="s">
        <v>2017</v>
      </c>
      <c r="C1727" s="180" t="s">
        <v>2008</v>
      </c>
      <c r="D1727" s="179" t="s">
        <v>216</v>
      </c>
      <c r="E1727" s="181">
        <v>2</v>
      </c>
    </row>
    <row r="1728" spans="2:5" ht="12.75" x14ac:dyDescent="0.2">
      <c r="B1728" s="179" t="s">
        <v>2018</v>
      </c>
      <c r="C1728" s="180" t="s">
        <v>2019</v>
      </c>
      <c r="D1728" s="179" t="s">
        <v>214</v>
      </c>
      <c r="E1728" s="181">
        <v>2</v>
      </c>
    </row>
    <row r="1729" spans="2:5" ht="12.75" x14ac:dyDescent="0.2">
      <c r="B1729" s="179" t="s">
        <v>2020</v>
      </c>
      <c r="C1729" s="180" t="s">
        <v>2021</v>
      </c>
      <c r="D1729" s="179" t="s">
        <v>216</v>
      </c>
      <c r="E1729" s="181">
        <v>0.5</v>
      </c>
    </row>
    <row r="1730" spans="2:5" ht="12.75" x14ac:dyDescent="0.2">
      <c r="B1730" s="179" t="s">
        <v>2022</v>
      </c>
      <c r="C1730" s="180" t="s">
        <v>2023</v>
      </c>
      <c r="D1730" s="179" t="s">
        <v>214</v>
      </c>
      <c r="E1730" s="181">
        <v>0.5</v>
      </c>
    </row>
    <row r="1731" spans="2:5" ht="12.75" x14ac:dyDescent="0.2">
      <c r="B1731" s="179" t="s">
        <v>2024</v>
      </c>
      <c r="C1731" s="180" t="s">
        <v>2023</v>
      </c>
      <c r="D1731" s="179" t="s">
        <v>216</v>
      </c>
      <c r="E1731" s="181">
        <v>0.5</v>
      </c>
    </row>
    <row r="1732" spans="2:5" ht="12.75" x14ac:dyDescent="0.2">
      <c r="B1732" s="179" t="s">
        <v>2025</v>
      </c>
      <c r="C1732" s="180" t="s">
        <v>2023</v>
      </c>
      <c r="D1732" s="179" t="s">
        <v>216</v>
      </c>
      <c r="E1732" s="181">
        <v>0.5</v>
      </c>
    </row>
    <row r="1733" spans="2:5" ht="12.75" x14ac:dyDescent="0.2">
      <c r="B1733" s="179" t="s">
        <v>2026</v>
      </c>
      <c r="C1733" s="180" t="s">
        <v>2023</v>
      </c>
      <c r="D1733" s="179" t="s">
        <v>216</v>
      </c>
      <c r="E1733" s="181">
        <v>0.5</v>
      </c>
    </row>
    <row r="1734" spans="2:5" ht="12.75" x14ac:dyDescent="0.2">
      <c r="B1734" s="179" t="s">
        <v>2027</v>
      </c>
      <c r="C1734" s="180" t="s">
        <v>2023</v>
      </c>
      <c r="D1734" s="179" t="s">
        <v>216</v>
      </c>
      <c r="E1734" s="181">
        <v>0.5</v>
      </c>
    </row>
    <row r="1735" spans="2:5" ht="12.75" x14ac:dyDescent="0.2">
      <c r="B1735" s="179" t="s">
        <v>2028</v>
      </c>
      <c r="C1735" s="180" t="s">
        <v>2023</v>
      </c>
      <c r="D1735" s="179" t="s">
        <v>216</v>
      </c>
      <c r="E1735" s="181">
        <v>0.5</v>
      </c>
    </row>
    <row r="1736" spans="2:5" ht="12.75" x14ac:dyDescent="0.2">
      <c r="B1736" s="179" t="s">
        <v>2029</v>
      </c>
      <c r="C1736" s="180" t="s">
        <v>2023</v>
      </c>
      <c r="D1736" s="179" t="s">
        <v>216</v>
      </c>
      <c r="E1736" s="181">
        <v>0.5</v>
      </c>
    </row>
    <row r="1737" spans="2:5" ht="12.75" x14ac:dyDescent="0.2">
      <c r="B1737" s="179" t="s">
        <v>2030</v>
      </c>
      <c r="C1737" s="180" t="s">
        <v>2023</v>
      </c>
      <c r="D1737" s="179" t="s">
        <v>216</v>
      </c>
      <c r="E1737" s="181">
        <v>0.5</v>
      </c>
    </row>
    <row r="1738" spans="2:5" ht="12.75" x14ac:dyDescent="0.2">
      <c r="B1738" s="179" t="s">
        <v>2031</v>
      </c>
      <c r="C1738" s="180" t="s">
        <v>2023</v>
      </c>
      <c r="D1738" s="179" t="s">
        <v>216</v>
      </c>
      <c r="E1738" s="181">
        <v>0.5</v>
      </c>
    </row>
    <row r="1739" spans="2:5" ht="12.75" x14ac:dyDescent="0.2">
      <c r="B1739" s="179" t="s">
        <v>2032</v>
      </c>
      <c r="C1739" s="180" t="s">
        <v>2023</v>
      </c>
      <c r="D1739" s="179" t="s">
        <v>216</v>
      </c>
      <c r="E1739" s="181">
        <v>0.5</v>
      </c>
    </row>
    <row r="1740" spans="2:5" ht="12.75" x14ac:dyDescent="0.2">
      <c r="B1740" s="179" t="s">
        <v>2033</v>
      </c>
      <c r="C1740" s="180" t="s">
        <v>2023</v>
      </c>
      <c r="D1740" s="179" t="s">
        <v>216</v>
      </c>
      <c r="E1740" s="181">
        <v>0.5</v>
      </c>
    </row>
    <row r="1741" spans="2:5" ht="12.75" x14ac:dyDescent="0.2">
      <c r="B1741" s="179" t="s">
        <v>2034</v>
      </c>
      <c r="C1741" s="180" t="s">
        <v>2023</v>
      </c>
      <c r="D1741" s="179" t="s">
        <v>216</v>
      </c>
      <c r="E1741" s="181">
        <v>0.5</v>
      </c>
    </row>
    <row r="1742" spans="2:5" ht="12.75" x14ac:dyDescent="0.2">
      <c r="B1742" s="179" t="s">
        <v>2035</v>
      </c>
      <c r="C1742" s="180" t="s">
        <v>2023</v>
      </c>
      <c r="D1742" s="179" t="s">
        <v>216</v>
      </c>
      <c r="E1742" s="181">
        <v>0.5</v>
      </c>
    </row>
    <row r="1743" spans="2:5" ht="12.75" x14ac:dyDescent="0.2">
      <c r="B1743" s="179" t="s">
        <v>2036</v>
      </c>
      <c r="C1743" s="180" t="s">
        <v>2023</v>
      </c>
      <c r="D1743" s="179" t="s">
        <v>216</v>
      </c>
      <c r="E1743" s="181">
        <v>0.5</v>
      </c>
    </row>
    <row r="1744" spans="2:5" ht="12.75" x14ac:dyDescent="0.2">
      <c r="B1744" s="179" t="s">
        <v>2037</v>
      </c>
      <c r="C1744" s="180" t="s">
        <v>2023</v>
      </c>
      <c r="D1744" s="179" t="s">
        <v>216</v>
      </c>
      <c r="E1744" s="181">
        <v>0.5</v>
      </c>
    </row>
    <row r="1745" spans="2:5" ht="12.75" x14ac:dyDescent="0.2">
      <c r="B1745" s="179" t="s">
        <v>2038</v>
      </c>
      <c r="C1745" s="180" t="s">
        <v>2023</v>
      </c>
      <c r="D1745" s="179" t="s">
        <v>216</v>
      </c>
      <c r="E1745" s="181">
        <v>0.5</v>
      </c>
    </row>
    <row r="1746" spans="2:5" ht="12.75" x14ac:dyDescent="0.2">
      <c r="B1746" s="179" t="s">
        <v>2039</v>
      </c>
      <c r="C1746" s="180" t="s">
        <v>2023</v>
      </c>
      <c r="D1746" s="179" t="s">
        <v>216</v>
      </c>
      <c r="E1746" s="181">
        <v>0.5</v>
      </c>
    </row>
    <row r="1747" spans="2:5" ht="12.75" x14ac:dyDescent="0.2">
      <c r="B1747" s="179" t="s">
        <v>2040</v>
      </c>
      <c r="C1747" s="180" t="s">
        <v>2023</v>
      </c>
      <c r="D1747" s="179" t="s">
        <v>216</v>
      </c>
      <c r="E1747" s="181">
        <v>0.5</v>
      </c>
    </row>
    <row r="1748" spans="2:5" ht="12.75" x14ac:dyDescent="0.2">
      <c r="B1748" s="179" t="s">
        <v>2041</v>
      </c>
      <c r="C1748" s="180" t="s">
        <v>2023</v>
      </c>
      <c r="D1748" s="179" t="s">
        <v>216</v>
      </c>
      <c r="E1748" s="181">
        <v>0.5</v>
      </c>
    </row>
    <row r="1749" spans="2:5" ht="12.75" x14ac:dyDescent="0.2">
      <c r="B1749" s="179" t="s">
        <v>2042</v>
      </c>
      <c r="C1749" s="180" t="s">
        <v>2023</v>
      </c>
      <c r="D1749" s="179" t="s">
        <v>216</v>
      </c>
      <c r="E1749" s="181">
        <v>0.5</v>
      </c>
    </row>
    <row r="1750" spans="2:5" ht="12.75" x14ac:dyDescent="0.2">
      <c r="B1750" s="179" t="s">
        <v>2043</v>
      </c>
      <c r="C1750" s="180" t="s">
        <v>2023</v>
      </c>
      <c r="D1750" s="179" t="s">
        <v>216</v>
      </c>
      <c r="E1750" s="181">
        <v>0.5</v>
      </c>
    </row>
    <row r="1751" spans="2:5" ht="12.75" x14ac:dyDescent="0.2">
      <c r="B1751" s="179" t="s">
        <v>2044</v>
      </c>
      <c r="C1751" s="180" t="s">
        <v>2023</v>
      </c>
      <c r="D1751" s="179" t="s">
        <v>216</v>
      </c>
      <c r="E1751" s="181">
        <v>0.5</v>
      </c>
    </row>
    <row r="1752" spans="2:5" ht="12.75" x14ac:dyDescent="0.2">
      <c r="B1752" s="179" t="s">
        <v>2045</v>
      </c>
      <c r="C1752" s="180" t="s">
        <v>2023</v>
      </c>
      <c r="D1752" s="179" t="s">
        <v>216</v>
      </c>
      <c r="E1752" s="181">
        <v>0.5</v>
      </c>
    </row>
    <row r="1753" spans="2:5" ht="12.75" x14ac:dyDescent="0.2">
      <c r="B1753" s="179" t="s">
        <v>2046</v>
      </c>
      <c r="C1753" s="180" t="s">
        <v>2023</v>
      </c>
      <c r="D1753" s="179" t="s">
        <v>216</v>
      </c>
      <c r="E1753" s="181">
        <v>0.5</v>
      </c>
    </row>
    <row r="1754" spans="2:5" ht="12.75" x14ac:dyDescent="0.2">
      <c r="B1754" s="179" t="s">
        <v>2047</v>
      </c>
      <c r="C1754" s="180" t="s">
        <v>2023</v>
      </c>
      <c r="D1754" s="179" t="s">
        <v>216</v>
      </c>
      <c r="E1754" s="181">
        <v>0.5</v>
      </c>
    </row>
    <row r="1755" spans="2:5" ht="12.75" x14ac:dyDescent="0.2">
      <c r="B1755" s="179" t="s">
        <v>2048</v>
      </c>
      <c r="C1755" s="180" t="s">
        <v>2023</v>
      </c>
      <c r="D1755" s="179" t="s">
        <v>216</v>
      </c>
      <c r="E1755" s="181">
        <v>0.5</v>
      </c>
    </row>
    <row r="1756" spans="2:5" ht="12.75" x14ac:dyDescent="0.2">
      <c r="B1756" s="179" t="s">
        <v>2049</v>
      </c>
      <c r="C1756" s="180" t="s">
        <v>2023</v>
      </c>
      <c r="D1756" s="179" t="s">
        <v>216</v>
      </c>
      <c r="E1756" s="181">
        <v>0.5</v>
      </c>
    </row>
    <row r="1757" spans="2:5" ht="12.75" x14ac:dyDescent="0.2">
      <c r="B1757" s="179" t="s">
        <v>2050</v>
      </c>
      <c r="C1757" s="180" t="s">
        <v>2023</v>
      </c>
      <c r="D1757" s="179" t="s">
        <v>216</v>
      </c>
      <c r="E1757" s="181">
        <v>0.5</v>
      </c>
    </row>
    <row r="1758" spans="2:5" ht="12.75" x14ac:dyDescent="0.2">
      <c r="B1758" s="179" t="s">
        <v>2051</v>
      </c>
      <c r="C1758" s="180" t="s">
        <v>2023</v>
      </c>
      <c r="D1758" s="179" t="s">
        <v>216</v>
      </c>
      <c r="E1758" s="181">
        <v>0.5</v>
      </c>
    </row>
    <row r="1759" spans="2:5" ht="12.75" x14ac:dyDescent="0.2">
      <c r="B1759" s="179" t="s">
        <v>2052</v>
      </c>
      <c r="C1759" s="180" t="s">
        <v>2023</v>
      </c>
      <c r="D1759" s="179" t="s">
        <v>216</v>
      </c>
      <c r="E1759" s="181">
        <v>0.5</v>
      </c>
    </row>
    <row r="1760" spans="2:5" ht="12.75" x14ac:dyDescent="0.2">
      <c r="B1760" s="179" t="s">
        <v>2053</v>
      </c>
      <c r="C1760" s="180" t="s">
        <v>2023</v>
      </c>
      <c r="D1760" s="179" t="s">
        <v>216</v>
      </c>
      <c r="E1760" s="181">
        <v>0.5</v>
      </c>
    </row>
    <row r="1761" spans="2:5" ht="12.75" x14ac:dyDescent="0.2">
      <c r="B1761" s="179" t="s">
        <v>2054</v>
      </c>
      <c r="C1761" s="180" t="s">
        <v>2023</v>
      </c>
      <c r="D1761" s="179" t="s">
        <v>216</v>
      </c>
      <c r="E1761" s="181">
        <v>0.5</v>
      </c>
    </row>
    <row r="1762" spans="2:5" ht="12.75" x14ac:dyDescent="0.2">
      <c r="B1762" s="179" t="s">
        <v>2055</v>
      </c>
      <c r="C1762" s="180" t="s">
        <v>2056</v>
      </c>
      <c r="D1762" s="179" t="s">
        <v>214</v>
      </c>
      <c r="E1762" s="181">
        <v>0.5</v>
      </c>
    </row>
    <row r="1763" spans="2:5" ht="12.75" x14ac:dyDescent="0.2">
      <c r="B1763" s="179" t="s">
        <v>2057</v>
      </c>
      <c r="C1763" s="180" t="s">
        <v>2058</v>
      </c>
      <c r="D1763" s="179" t="s">
        <v>216</v>
      </c>
      <c r="E1763" s="181">
        <v>0.5</v>
      </c>
    </row>
    <row r="1764" spans="2:5" ht="12.75" x14ac:dyDescent="0.2">
      <c r="B1764" s="179" t="s">
        <v>2059</v>
      </c>
      <c r="C1764" s="180" t="s">
        <v>2058</v>
      </c>
      <c r="D1764" s="179" t="s">
        <v>216</v>
      </c>
      <c r="E1764" s="181">
        <v>0.5</v>
      </c>
    </row>
    <row r="1765" spans="2:5" ht="12.75" x14ac:dyDescent="0.2">
      <c r="B1765" s="179" t="s">
        <v>2060</v>
      </c>
      <c r="C1765" s="180" t="s">
        <v>2058</v>
      </c>
      <c r="D1765" s="179" t="s">
        <v>216</v>
      </c>
      <c r="E1765" s="181">
        <v>0.5</v>
      </c>
    </row>
    <row r="1766" spans="2:5" ht="12.75" x14ac:dyDescent="0.2">
      <c r="B1766" s="179" t="s">
        <v>2061</v>
      </c>
      <c r="C1766" s="180" t="s">
        <v>2058</v>
      </c>
      <c r="D1766" s="179" t="s">
        <v>216</v>
      </c>
      <c r="E1766" s="181">
        <v>0.5</v>
      </c>
    </row>
    <row r="1767" spans="2:5" ht="12.75" x14ac:dyDescent="0.2">
      <c r="B1767" s="179" t="s">
        <v>2062</v>
      </c>
      <c r="C1767" s="180" t="s">
        <v>2058</v>
      </c>
      <c r="D1767" s="179" t="s">
        <v>216</v>
      </c>
      <c r="E1767" s="181">
        <v>0.5</v>
      </c>
    </row>
    <row r="1768" spans="2:5" ht="12.75" x14ac:dyDescent="0.2">
      <c r="B1768" s="179" t="s">
        <v>2063</v>
      </c>
      <c r="C1768" s="180" t="s">
        <v>2058</v>
      </c>
      <c r="D1768" s="179" t="s">
        <v>216</v>
      </c>
      <c r="E1768" s="181">
        <v>0.5</v>
      </c>
    </row>
    <row r="1769" spans="2:5" ht="12.75" x14ac:dyDescent="0.2">
      <c r="B1769" s="179" t="s">
        <v>2064</v>
      </c>
      <c r="C1769" s="180" t="s">
        <v>2065</v>
      </c>
      <c r="D1769" s="179" t="s">
        <v>214</v>
      </c>
      <c r="E1769" s="181">
        <v>0.5</v>
      </c>
    </row>
    <row r="1770" spans="2:5" ht="12.75" x14ac:dyDescent="0.2">
      <c r="B1770" s="179" t="s">
        <v>2066</v>
      </c>
      <c r="C1770" s="180" t="s">
        <v>2065</v>
      </c>
      <c r="D1770" s="179" t="s">
        <v>216</v>
      </c>
      <c r="E1770" s="181">
        <v>0.5</v>
      </c>
    </row>
    <row r="1771" spans="2:5" ht="12.75" x14ac:dyDescent="0.2">
      <c r="B1771" s="179" t="s">
        <v>2067</v>
      </c>
      <c r="C1771" s="180" t="s">
        <v>2065</v>
      </c>
      <c r="D1771" s="179" t="s">
        <v>216</v>
      </c>
      <c r="E1771" s="181">
        <v>0.5</v>
      </c>
    </row>
    <row r="1772" spans="2:5" ht="12.75" x14ac:dyDescent="0.2">
      <c r="B1772" s="179" t="s">
        <v>2068</v>
      </c>
      <c r="C1772" s="180" t="s">
        <v>2065</v>
      </c>
      <c r="D1772" s="179" t="s">
        <v>216</v>
      </c>
      <c r="E1772" s="181">
        <v>0.5</v>
      </c>
    </row>
    <row r="1773" spans="2:5" ht="12.75" x14ac:dyDescent="0.2">
      <c r="B1773" s="179" t="s">
        <v>2069</v>
      </c>
      <c r="C1773" s="180" t="s">
        <v>2070</v>
      </c>
      <c r="D1773" s="179" t="s">
        <v>214</v>
      </c>
      <c r="E1773" s="181">
        <v>0.5</v>
      </c>
    </row>
    <row r="1774" spans="2:5" ht="12.75" x14ac:dyDescent="0.2">
      <c r="B1774" s="179" t="s">
        <v>2071</v>
      </c>
      <c r="C1774" s="180" t="s">
        <v>2070</v>
      </c>
      <c r="D1774" s="179" t="s">
        <v>216</v>
      </c>
      <c r="E1774" s="181">
        <v>0.5</v>
      </c>
    </row>
    <row r="1775" spans="2:5" ht="12.75" x14ac:dyDescent="0.2">
      <c r="B1775" s="179" t="s">
        <v>2072</v>
      </c>
      <c r="C1775" s="180" t="s">
        <v>2070</v>
      </c>
      <c r="D1775" s="179" t="s">
        <v>216</v>
      </c>
      <c r="E1775" s="181">
        <v>0.5</v>
      </c>
    </row>
    <row r="1776" spans="2:5" ht="12.75" x14ac:dyDescent="0.2">
      <c r="B1776" s="179" t="s">
        <v>2073</v>
      </c>
      <c r="C1776" s="180" t="s">
        <v>2074</v>
      </c>
      <c r="D1776" s="179" t="s">
        <v>214</v>
      </c>
      <c r="E1776" s="181">
        <v>0.5</v>
      </c>
    </row>
    <row r="1777" spans="2:5" ht="12.75" x14ac:dyDescent="0.2">
      <c r="B1777" s="179" t="s">
        <v>2075</v>
      </c>
      <c r="C1777" s="180" t="s">
        <v>2074</v>
      </c>
      <c r="D1777" s="179" t="s">
        <v>216</v>
      </c>
      <c r="E1777" s="181">
        <v>0.5</v>
      </c>
    </row>
    <row r="1778" spans="2:5" ht="12.75" x14ac:dyDescent="0.2">
      <c r="B1778" s="179" t="s">
        <v>2076</v>
      </c>
      <c r="C1778" s="180" t="s">
        <v>2074</v>
      </c>
      <c r="D1778" s="179" t="s">
        <v>216</v>
      </c>
      <c r="E1778" s="181">
        <v>0.5</v>
      </c>
    </row>
    <row r="1779" spans="2:5" ht="12.75" x14ac:dyDescent="0.2">
      <c r="B1779" s="179" t="s">
        <v>2077</v>
      </c>
      <c r="C1779" s="180" t="s">
        <v>2074</v>
      </c>
      <c r="D1779" s="179" t="s">
        <v>216</v>
      </c>
      <c r="E1779" s="181">
        <v>0.5</v>
      </c>
    </row>
    <row r="1780" spans="2:5" ht="12.75" x14ac:dyDescent="0.2">
      <c r="B1780" s="179" t="s">
        <v>2078</v>
      </c>
      <c r="C1780" s="180" t="s">
        <v>2074</v>
      </c>
      <c r="D1780" s="179" t="s">
        <v>216</v>
      </c>
      <c r="E1780" s="181">
        <v>0.5</v>
      </c>
    </row>
    <row r="1781" spans="2:5" ht="12.75" x14ac:dyDescent="0.2">
      <c r="B1781" s="179" t="s">
        <v>2079</v>
      </c>
      <c r="C1781" s="180" t="s">
        <v>2080</v>
      </c>
      <c r="D1781" s="179" t="s">
        <v>214</v>
      </c>
      <c r="E1781" s="181">
        <v>0.5</v>
      </c>
    </row>
    <row r="1782" spans="2:5" ht="12.75" x14ac:dyDescent="0.2">
      <c r="B1782" s="179" t="s">
        <v>2081</v>
      </c>
      <c r="C1782" s="180" t="s">
        <v>2080</v>
      </c>
      <c r="D1782" s="179" t="s">
        <v>216</v>
      </c>
      <c r="E1782" s="181">
        <v>0.5</v>
      </c>
    </row>
    <row r="1783" spans="2:5" ht="12.75" x14ac:dyDescent="0.2">
      <c r="B1783" s="179" t="s">
        <v>2082</v>
      </c>
      <c r="C1783" s="180" t="s">
        <v>2080</v>
      </c>
      <c r="D1783" s="179" t="s">
        <v>216</v>
      </c>
      <c r="E1783" s="181">
        <v>0.5</v>
      </c>
    </row>
    <row r="1784" spans="2:5" ht="12.75" x14ac:dyDescent="0.2">
      <c r="B1784" s="179" t="s">
        <v>2083</v>
      </c>
      <c r="C1784" s="180" t="s">
        <v>2080</v>
      </c>
      <c r="D1784" s="179" t="s">
        <v>216</v>
      </c>
      <c r="E1784" s="181">
        <v>0.5</v>
      </c>
    </row>
    <row r="1785" spans="2:5" ht="12.75" x14ac:dyDescent="0.2">
      <c r="B1785" s="179" t="s">
        <v>2084</v>
      </c>
      <c r="C1785" s="180" t="s">
        <v>2085</v>
      </c>
      <c r="D1785" s="179" t="s">
        <v>214</v>
      </c>
      <c r="E1785" s="181">
        <v>0.1</v>
      </c>
    </row>
    <row r="1786" spans="2:5" ht="12.75" x14ac:dyDescent="0.2">
      <c r="B1786" s="179" t="s">
        <v>2086</v>
      </c>
      <c r="C1786" s="180" t="s">
        <v>2085</v>
      </c>
      <c r="D1786" s="179" t="s">
        <v>216</v>
      </c>
      <c r="E1786" s="181">
        <v>0.5</v>
      </c>
    </row>
    <row r="1787" spans="2:5" ht="12.75" x14ac:dyDescent="0.2">
      <c r="B1787" s="179" t="s">
        <v>2087</v>
      </c>
      <c r="C1787" s="180" t="s">
        <v>2085</v>
      </c>
      <c r="D1787" s="179" t="s">
        <v>216</v>
      </c>
      <c r="E1787" s="181">
        <v>0.5</v>
      </c>
    </row>
    <row r="1788" spans="2:5" ht="12.75" x14ac:dyDescent="0.2">
      <c r="B1788" s="179" t="s">
        <v>2088</v>
      </c>
      <c r="C1788" s="180" t="s">
        <v>2085</v>
      </c>
      <c r="D1788" s="179" t="s">
        <v>216</v>
      </c>
      <c r="E1788" s="181">
        <v>0.5</v>
      </c>
    </row>
    <row r="1789" spans="2:5" ht="12.75" x14ac:dyDescent="0.2">
      <c r="B1789" s="179" t="s">
        <v>2089</v>
      </c>
      <c r="C1789" s="180" t="s">
        <v>2085</v>
      </c>
      <c r="D1789" s="179" t="s">
        <v>216</v>
      </c>
      <c r="E1789" s="181">
        <v>0.5</v>
      </c>
    </row>
    <row r="1790" spans="2:5" ht="12.75" x14ac:dyDescent="0.2">
      <c r="B1790" s="179" t="s">
        <v>2090</v>
      </c>
      <c r="C1790" s="180" t="s">
        <v>2091</v>
      </c>
      <c r="D1790" s="179" t="s">
        <v>214</v>
      </c>
      <c r="E1790" s="181">
        <v>5</v>
      </c>
    </row>
    <row r="1791" spans="2:5" ht="12.75" x14ac:dyDescent="0.2">
      <c r="B1791" s="179" t="s">
        <v>2092</v>
      </c>
      <c r="C1791" s="180" t="s">
        <v>2091</v>
      </c>
      <c r="D1791" s="179" t="s">
        <v>214</v>
      </c>
      <c r="E1791" s="181">
        <v>5</v>
      </c>
    </row>
    <row r="1792" spans="2:5" ht="12.75" x14ac:dyDescent="0.2">
      <c r="B1792" s="179" t="s">
        <v>2093</v>
      </c>
      <c r="C1792" s="180" t="s">
        <v>2091</v>
      </c>
      <c r="D1792" s="179" t="s">
        <v>214</v>
      </c>
      <c r="E1792" s="181">
        <v>5</v>
      </c>
    </row>
    <row r="1793" spans="2:5" ht="12.75" x14ac:dyDescent="0.2">
      <c r="B1793" s="179" t="s">
        <v>2094</v>
      </c>
      <c r="C1793" s="180" t="s">
        <v>2091</v>
      </c>
      <c r="D1793" s="179" t="s">
        <v>214</v>
      </c>
      <c r="E1793" s="181">
        <v>5</v>
      </c>
    </row>
    <row r="1794" spans="2:5" ht="12.75" x14ac:dyDescent="0.2">
      <c r="B1794" s="179" t="s">
        <v>2095</v>
      </c>
      <c r="C1794" s="180" t="s">
        <v>2091</v>
      </c>
      <c r="D1794" s="179" t="s">
        <v>214</v>
      </c>
      <c r="E1794" s="181">
        <v>5</v>
      </c>
    </row>
    <row r="1795" spans="2:5" ht="12.75" x14ac:dyDescent="0.2">
      <c r="B1795" s="179" t="s">
        <v>2096</v>
      </c>
      <c r="C1795" s="180" t="s">
        <v>2091</v>
      </c>
      <c r="D1795" s="179" t="s">
        <v>214</v>
      </c>
      <c r="E1795" s="181">
        <v>5</v>
      </c>
    </row>
    <row r="1796" spans="2:5" ht="12.75" x14ac:dyDescent="0.2">
      <c r="B1796" s="179" t="s">
        <v>2097</v>
      </c>
      <c r="C1796" s="180" t="s">
        <v>2091</v>
      </c>
      <c r="D1796" s="179" t="s">
        <v>214</v>
      </c>
      <c r="E1796" s="181">
        <v>5</v>
      </c>
    </row>
    <row r="1797" spans="2:5" ht="12.75" x14ac:dyDescent="0.2">
      <c r="B1797" s="179" t="s">
        <v>2098</v>
      </c>
      <c r="C1797" s="180" t="s">
        <v>2091</v>
      </c>
      <c r="D1797" s="179" t="s">
        <v>214</v>
      </c>
      <c r="E1797" s="181">
        <v>5</v>
      </c>
    </row>
    <row r="1798" spans="2:5" ht="12.75" x14ac:dyDescent="0.2">
      <c r="B1798" s="179" t="s">
        <v>2099</v>
      </c>
      <c r="C1798" s="180" t="s">
        <v>2091</v>
      </c>
      <c r="D1798" s="179" t="s">
        <v>214</v>
      </c>
      <c r="E1798" s="181">
        <v>5</v>
      </c>
    </row>
    <row r="1799" spans="2:5" ht="12.75" x14ac:dyDescent="0.2">
      <c r="B1799" s="179" t="s">
        <v>2100</v>
      </c>
      <c r="C1799" s="180" t="s">
        <v>2101</v>
      </c>
      <c r="D1799" s="179" t="s">
        <v>214</v>
      </c>
      <c r="E1799" s="181">
        <v>5</v>
      </c>
    </row>
    <row r="1800" spans="2:5" ht="12.75" x14ac:dyDescent="0.2">
      <c r="B1800" s="179" t="s">
        <v>2102</v>
      </c>
      <c r="C1800" s="180" t="s">
        <v>2103</v>
      </c>
      <c r="D1800" s="179" t="s">
        <v>214</v>
      </c>
      <c r="E1800" s="181">
        <v>0.5</v>
      </c>
    </row>
    <row r="1801" spans="2:5" ht="12.75" x14ac:dyDescent="0.2">
      <c r="B1801" s="179" t="s">
        <v>2102</v>
      </c>
      <c r="C1801" s="180" t="s">
        <v>2103</v>
      </c>
      <c r="D1801" s="179" t="s">
        <v>216</v>
      </c>
      <c r="E1801" s="181">
        <v>0.5</v>
      </c>
    </row>
    <row r="1802" spans="2:5" ht="12.75" x14ac:dyDescent="0.2">
      <c r="B1802" s="179" t="s">
        <v>2104</v>
      </c>
      <c r="C1802" s="180" t="s">
        <v>2103</v>
      </c>
      <c r="D1802" s="179" t="s">
        <v>216</v>
      </c>
      <c r="E1802" s="181">
        <v>0.5</v>
      </c>
    </row>
    <row r="1803" spans="2:5" ht="12.75" x14ac:dyDescent="0.2">
      <c r="B1803" s="179" t="s">
        <v>2105</v>
      </c>
      <c r="C1803" s="180" t="s">
        <v>2103</v>
      </c>
      <c r="D1803" s="179" t="s">
        <v>216</v>
      </c>
      <c r="E1803" s="181">
        <v>0.5</v>
      </c>
    </row>
    <row r="1804" spans="2:5" ht="12.75" x14ac:dyDescent="0.2">
      <c r="B1804" s="179" t="s">
        <v>2106</v>
      </c>
      <c r="C1804" s="180" t="s">
        <v>2103</v>
      </c>
      <c r="D1804" s="179" t="s">
        <v>216</v>
      </c>
      <c r="E1804" s="181">
        <v>0.5</v>
      </c>
    </row>
    <row r="1805" spans="2:5" ht="12.75" x14ac:dyDescent="0.2">
      <c r="B1805" s="179" t="s">
        <v>2107</v>
      </c>
      <c r="C1805" s="180" t="s">
        <v>2103</v>
      </c>
      <c r="D1805" s="179" t="s">
        <v>216</v>
      </c>
      <c r="E1805" s="181">
        <v>0.5</v>
      </c>
    </row>
    <row r="1806" spans="2:5" ht="12.75" x14ac:dyDescent="0.2">
      <c r="B1806" s="179" t="s">
        <v>2108</v>
      </c>
      <c r="C1806" s="180" t="s">
        <v>2103</v>
      </c>
      <c r="D1806" s="179" t="s">
        <v>216</v>
      </c>
      <c r="E1806" s="181">
        <v>0.5</v>
      </c>
    </row>
    <row r="1807" spans="2:5" ht="12.75" x14ac:dyDescent="0.2">
      <c r="B1807" s="179" t="s">
        <v>2109</v>
      </c>
      <c r="C1807" s="180" t="s">
        <v>2103</v>
      </c>
      <c r="D1807" s="179" t="s">
        <v>216</v>
      </c>
      <c r="E1807" s="181">
        <v>0.5</v>
      </c>
    </row>
    <row r="1808" spans="2:5" ht="12.75" x14ac:dyDescent="0.2">
      <c r="B1808" s="179" t="s">
        <v>2110</v>
      </c>
      <c r="C1808" s="180" t="s">
        <v>2103</v>
      </c>
      <c r="D1808" s="179" t="s">
        <v>216</v>
      </c>
      <c r="E1808" s="181">
        <v>0.5</v>
      </c>
    </row>
    <row r="1809" spans="2:5" ht="12.75" x14ac:dyDescent="0.2">
      <c r="B1809" s="179" t="s">
        <v>2111</v>
      </c>
      <c r="C1809" s="180" t="s">
        <v>2103</v>
      </c>
      <c r="D1809" s="179" t="s">
        <v>216</v>
      </c>
      <c r="E1809" s="181">
        <v>0.5</v>
      </c>
    </row>
    <row r="1810" spans="2:5" ht="12.75" x14ac:dyDescent="0.2">
      <c r="B1810" s="179" t="s">
        <v>2112</v>
      </c>
      <c r="C1810" s="180" t="s">
        <v>2103</v>
      </c>
      <c r="D1810" s="179" t="s">
        <v>216</v>
      </c>
      <c r="E1810" s="181">
        <v>0.5</v>
      </c>
    </row>
    <row r="1811" spans="2:5" ht="12.75" x14ac:dyDescent="0.2">
      <c r="B1811" s="179" t="s">
        <v>2113</v>
      </c>
      <c r="C1811" s="180" t="s">
        <v>2103</v>
      </c>
      <c r="D1811" s="179" t="s">
        <v>216</v>
      </c>
      <c r="E1811" s="181">
        <v>0.5</v>
      </c>
    </row>
    <row r="1812" spans="2:5" ht="12.75" x14ac:dyDescent="0.2">
      <c r="B1812" s="179" t="s">
        <v>2114</v>
      </c>
      <c r="C1812" s="180" t="s">
        <v>2103</v>
      </c>
      <c r="D1812" s="179" t="s">
        <v>216</v>
      </c>
      <c r="E1812" s="181">
        <v>0.5</v>
      </c>
    </row>
    <row r="1813" spans="2:5" ht="12.75" x14ac:dyDescent="0.2">
      <c r="B1813" s="179" t="s">
        <v>2115</v>
      </c>
      <c r="C1813" s="180" t="s">
        <v>2103</v>
      </c>
      <c r="D1813" s="179" t="s">
        <v>216</v>
      </c>
      <c r="E1813" s="181">
        <v>0.5</v>
      </c>
    </row>
    <row r="1814" spans="2:5" ht="12.75" x14ac:dyDescent="0.2">
      <c r="B1814" s="179" t="s">
        <v>2116</v>
      </c>
      <c r="C1814" s="180" t="s">
        <v>2103</v>
      </c>
      <c r="D1814" s="179" t="s">
        <v>216</v>
      </c>
      <c r="E1814" s="181">
        <v>0.5</v>
      </c>
    </row>
    <row r="1815" spans="2:5" ht="12.75" x14ac:dyDescent="0.2">
      <c r="B1815" s="179" t="s">
        <v>2117</v>
      </c>
      <c r="C1815" s="180" t="s">
        <v>2103</v>
      </c>
      <c r="D1815" s="179" t="s">
        <v>216</v>
      </c>
      <c r="E1815" s="181">
        <v>0.5</v>
      </c>
    </row>
    <row r="1816" spans="2:5" ht="12.75" x14ac:dyDescent="0.2">
      <c r="B1816" s="179" t="s">
        <v>2118</v>
      </c>
      <c r="C1816" s="180" t="s">
        <v>2103</v>
      </c>
      <c r="D1816" s="179" t="s">
        <v>216</v>
      </c>
      <c r="E1816" s="181">
        <v>0.5</v>
      </c>
    </row>
    <row r="1817" spans="2:5" ht="12.75" x14ac:dyDescent="0.2">
      <c r="B1817" s="179" t="s">
        <v>2119</v>
      </c>
      <c r="C1817" s="180" t="s">
        <v>2103</v>
      </c>
      <c r="D1817" s="179" t="s">
        <v>216</v>
      </c>
      <c r="E1817" s="181">
        <v>0.5</v>
      </c>
    </row>
    <row r="1818" spans="2:5" ht="12.75" x14ac:dyDescent="0.2">
      <c r="B1818" s="179" t="s">
        <v>2120</v>
      </c>
      <c r="C1818" s="180" t="s">
        <v>2103</v>
      </c>
      <c r="D1818" s="179" t="s">
        <v>216</v>
      </c>
      <c r="E1818" s="181">
        <v>0.5</v>
      </c>
    </row>
    <row r="1819" spans="2:5" ht="12.75" x14ac:dyDescent="0.2">
      <c r="B1819" s="179" t="s">
        <v>2121</v>
      </c>
      <c r="C1819" s="180" t="s">
        <v>2103</v>
      </c>
      <c r="D1819" s="179" t="s">
        <v>216</v>
      </c>
      <c r="E1819" s="181">
        <v>0.5</v>
      </c>
    </row>
    <row r="1820" spans="2:5" ht="12.75" x14ac:dyDescent="0.2">
      <c r="B1820" s="179" t="s">
        <v>2122</v>
      </c>
      <c r="C1820" s="180" t="s">
        <v>2103</v>
      </c>
      <c r="D1820" s="179" t="s">
        <v>216</v>
      </c>
      <c r="E1820" s="181">
        <v>0.5</v>
      </c>
    </row>
    <row r="1821" spans="2:5" ht="12.75" x14ac:dyDescent="0.2">
      <c r="B1821" s="179" t="s">
        <v>2123</v>
      </c>
      <c r="C1821" s="180" t="s">
        <v>2103</v>
      </c>
      <c r="D1821" s="179" t="s">
        <v>216</v>
      </c>
      <c r="E1821" s="181">
        <v>0.5</v>
      </c>
    </row>
    <row r="1822" spans="2:5" ht="12.75" x14ac:dyDescent="0.2">
      <c r="B1822" s="179" t="s">
        <v>2124</v>
      </c>
      <c r="C1822" s="180" t="s">
        <v>2103</v>
      </c>
      <c r="D1822" s="179" t="s">
        <v>216</v>
      </c>
      <c r="E1822" s="181">
        <v>0.5</v>
      </c>
    </row>
    <row r="1823" spans="2:5" ht="12.75" x14ac:dyDescent="0.2">
      <c r="B1823" s="179" t="s">
        <v>2125</v>
      </c>
      <c r="C1823" s="180" t="s">
        <v>2103</v>
      </c>
      <c r="D1823" s="179" t="s">
        <v>216</v>
      </c>
      <c r="E1823" s="181">
        <v>0.5</v>
      </c>
    </row>
    <row r="1824" spans="2:5" ht="12.75" x14ac:dyDescent="0.2">
      <c r="B1824" s="179" t="s">
        <v>2126</v>
      </c>
      <c r="C1824" s="180" t="s">
        <v>2103</v>
      </c>
      <c r="D1824" s="179" t="s">
        <v>216</v>
      </c>
      <c r="E1824" s="181">
        <v>0.5</v>
      </c>
    </row>
    <row r="1825" spans="2:5" ht="12.75" x14ac:dyDescent="0.2">
      <c r="B1825" s="179" t="s">
        <v>2127</v>
      </c>
      <c r="C1825" s="180" t="s">
        <v>2103</v>
      </c>
      <c r="D1825" s="179" t="s">
        <v>216</v>
      </c>
      <c r="E1825" s="181">
        <v>0.5</v>
      </c>
    </row>
    <row r="1826" spans="2:5" ht="12.75" x14ac:dyDescent="0.2">
      <c r="B1826" s="179" t="s">
        <v>2128</v>
      </c>
      <c r="C1826" s="180" t="s">
        <v>2103</v>
      </c>
      <c r="D1826" s="179" t="s">
        <v>216</v>
      </c>
      <c r="E1826" s="181">
        <v>0.5</v>
      </c>
    </row>
    <row r="1827" spans="2:5" ht="12.75" x14ac:dyDescent="0.2">
      <c r="B1827" s="179" t="s">
        <v>2129</v>
      </c>
      <c r="C1827" s="180" t="s">
        <v>2103</v>
      </c>
      <c r="D1827" s="179" t="s">
        <v>216</v>
      </c>
      <c r="E1827" s="181">
        <v>0.5</v>
      </c>
    </row>
    <row r="1828" spans="2:5" ht="12.75" x14ac:dyDescent="0.2">
      <c r="B1828" s="179" t="s">
        <v>2130</v>
      </c>
      <c r="C1828" s="180" t="s">
        <v>2103</v>
      </c>
      <c r="D1828" s="179" t="s">
        <v>216</v>
      </c>
      <c r="E1828" s="181">
        <v>0.5</v>
      </c>
    </row>
    <row r="1829" spans="2:5" ht="12.75" x14ac:dyDescent="0.2">
      <c r="B1829" s="179" t="s">
        <v>2131</v>
      </c>
      <c r="C1829" s="180" t="s">
        <v>2132</v>
      </c>
      <c r="D1829" s="179" t="s">
        <v>214</v>
      </c>
      <c r="E1829" s="181">
        <v>0.5</v>
      </c>
    </row>
    <row r="1830" spans="2:5" ht="12.75" x14ac:dyDescent="0.2">
      <c r="B1830" s="179" t="s">
        <v>2133</v>
      </c>
      <c r="C1830" s="180" t="s">
        <v>2132</v>
      </c>
      <c r="D1830" s="179" t="s">
        <v>216</v>
      </c>
      <c r="E1830" s="181">
        <v>0.5</v>
      </c>
    </row>
    <row r="1831" spans="2:5" ht="12.75" x14ac:dyDescent="0.2">
      <c r="B1831" s="179" t="s">
        <v>2134</v>
      </c>
      <c r="C1831" s="180" t="s">
        <v>2135</v>
      </c>
      <c r="D1831" s="179" t="s">
        <v>214</v>
      </c>
      <c r="E1831" s="181">
        <v>0.1</v>
      </c>
    </row>
    <row r="1832" spans="2:5" ht="12.75" x14ac:dyDescent="0.2">
      <c r="B1832" s="179" t="s">
        <v>2136</v>
      </c>
      <c r="C1832" s="180" t="s">
        <v>2135</v>
      </c>
      <c r="D1832" s="179" t="s">
        <v>216</v>
      </c>
      <c r="E1832" s="181">
        <v>0.1</v>
      </c>
    </row>
    <row r="1833" spans="2:5" ht="12.75" x14ac:dyDescent="0.2">
      <c r="B1833" s="179" t="s">
        <v>2137</v>
      </c>
      <c r="C1833" s="180" t="s">
        <v>2135</v>
      </c>
      <c r="D1833" s="179" t="s">
        <v>216</v>
      </c>
      <c r="E1833" s="181">
        <v>0.1</v>
      </c>
    </row>
    <row r="1834" spans="2:5" ht="12.75" x14ac:dyDescent="0.2">
      <c r="B1834" s="179" t="s">
        <v>2138</v>
      </c>
      <c r="C1834" s="180" t="s">
        <v>2139</v>
      </c>
      <c r="D1834" s="179" t="s">
        <v>214</v>
      </c>
      <c r="E1834" s="181">
        <v>0.1</v>
      </c>
    </row>
    <row r="1835" spans="2:5" ht="12.75" x14ac:dyDescent="0.2">
      <c r="B1835" s="179" t="s">
        <v>2140</v>
      </c>
      <c r="C1835" s="180" t="s">
        <v>2139</v>
      </c>
      <c r="D1835" s="179" t="s">
        <v>216</v>
      </c>
      <c r="E1835" s="181">
        <v>0.1</v>
      </c>
    </row>
    <row r="1836" spans="2:5" ht="12.75" x14ac:dyDescent="0.2">
      <c r="B1836" s="179" t="s">
        <v>2141</v>
      </c>
      <c r="C1836" s="180" t="s">
        <v>2142</v>
      </c>
      <c r="D1836" s="179" t="s">
        <v>214</v>
      </c>
      <c r="E1836" s="181">
        <v>0.1</v>
      </c>
    </row>
    <row r="1837" spans="2:5" ht="12.75" x14ac:dyDescent="0.2">
      <c r="B1837" s="179" t="s">
        <v>2143</v>
      </c>
      <c r="C1837" s="180" t="s">
        <v>2142</v>
      </c>
      <c r="D1837" s="179" t="s">
        <v>216</v>
      </c>
      <c r="E1837" s="181">
        <v>0.1</v>
      </c>
    </row>
    <row r="1838" spans="2:5" ht="12.75" x14ac:dyDescent="0.2">
      <c r="B1838" s="179" t="s">
        <v>2144</v>
      </c>
      <c r="C1838" s="180" t="s">
        <v>2142</v>
      </c>
      <c r="D1838" s="179" t="s">
        <v>216</v>
      </c>
      <c r="E1838" s="181">
        <v>0.1</v>
      </c>
    </row>
    <row r="1839" spans="2:5" ht="12.75" x14ac:dyDescent="0.2">
      <c r="B1839" s="179" t="s">
        <v>2145</v>
      </c>
      <c r="C1839" s="180" t="s">
        <v>2142</v>
      </c>
      <c r="D1839" s="179" t="s">
        <v>216</v>
      </c>
      <c r="E1839" s="181">
        <v>0.1</v>
      </c>
    </row>
    <row r="1840" spans="2:5" ht="12.75" x14ac:dyDescent="0.2">
      <c r="B1840" s="179" t="s">
        <v>2146</v>
      </c>
      <c r="C1840" s="180" t="s">
        <v>2142</v>
      </c>
      <c r="D1840" s="179" t="s">
        <v>216</v>
      </c>
      <c r="E1840" s="181">
        <v>0.1</v>
      </c>
    </row>
    <row r="1841" spans="2:5" ht="12.75" x14ac:dyDescent="0.2">
      <c r="B1841" s="179" t="s">
        <v>2147</v>
      </c>
      <c r="C1841" s="180" t="s">
        <v>2142</v>
      </c>
      <c r="D1841" s="179" t="s">
        <v>216</v>
      </c>
      <c r="E1841" s="181">
        <v>0.1</v>
      </c>
    </row>
    <row r="1842" spans="2:5" ht="12.75" x14ac:dyDescent="0.2">
      <c r="B1842" s="179" t="s">
        <v>2148</v>
      </c>
      <c r="C1842" s="180" t="s">
        <v>2142</v>
      </c>
      <c r="D1842" s="179" t="s">
        <v>216</v>
      </c>
      <c r="E1842" s="181">
        <v>0.1</v>
      </c>
    </row>
    <row r="1843" spans="2:5" ht="12.75" x14ac:dyDescent="0.2">
      <c r="B1843" s="179" t="s">
        <v>2149</v>
      </c>
      <c r="C1843" s="180" t="s">
        <v>2150</v>
      </c>
      <c r="D1843" s="179" t="s">
        <v>214</v>
      </c>
      <c r="E1843" s="181">
        <v>0.5</v>
      </c>
    </row>
    <row r="1844" spans="2:5" ht="12.75" x14ac:dyDescent="0.2">
      <c r="B1844" s="179" t="s">
        <v>2151</v>
      </c>
      <c r="C1844" s="180" t="s">
        <v>2150</v>
      </c>
      <c r="D1844" s="179" t="s">
        <v>216</v>
      </c>
      <c r="E1844" s="181">
        <v>0.5</v>
      </c>
    </row>
    <row r="1845" spans="2:5" ht="12.75" x14ac:dyDescent="0.2">
      <c r="B1845" s="179" t="s">
        <v>2152</v>
      </c>
      <c r="C1845" s="180" t="s">
        <v>2150</v>
      </c>
      <c r="D1845" s="179" t="s">
        <v>216</v>
      </c>
      <c r="E1845" s="181">
        <v>0.5</v>
      </c>
    </row>
    <row r="1846" spans="2:5" ht="12.75" x14ac:dyDescent="0.2">
      <c r="B1846" s="179" t="s">
        <v>2153</v>
      </c>
      <c r="C1846" s="180" t="s">
        <v>2154</v>
      </c>
      <c r="D1846" s="179" t="s">
        <v>214</v>
      </c>
      <c r="E1846" s="181">
        <v>0.1</v>
      </c>
    </row>
    <row r="1847" spans="2:5" ht="12.75" x14ac:dyDescent="0.2">
      <c r="B1847" s="179" t="s">
        <v>2155</v>
      </c>
      <c r="C1847" s="180" t="s">
        <v>2154</v>
      </c>
      <c r="D1847" s="179" t="s">
        <v>216</v>
      </c>
      <c r="E1847" s="181">
        <v>0.1</v>
      </c>
    </row>
    <row r="1848" spans="2:5" ht="12.75" x14ac:dyDescent="0.2">
      <c r="B1848" s="179" t="s">
        <v>2156</v>
      </c>
      <c r="C1848" s="180" t="s">
        <v>2157</v>
      </c>
      <c r="D1848" s="179" t="s">
        <v>214</v>
      </c>
      <c r="E1848" s="181">
        <v>0.5</v>
      </c>
    </row>
    <row r="1849" spans="2:5" ht="12.75" x14ac:dyDescent="0.2">
      <c r="B1849" s="179" t="s">
        <v>2156</v>
      </c>
      <c r="C1849" s="180" t="s">
        <v>2157</v>
      </c>
      <c r="D1849" s="179" t="s">
        <v>216</v>
      </c>
      <c r="E1849" s="181">
        <v>0.5</v>
      </c>
    </row>
    <row r="1850" spans="2:5" ht="12.75" x14ac:dyDescent="0.2">
      <c r="B1850" s="179" t="s">
        <v>2158</v>
      </c>
      <c r="C1850" s="180" t="s">
        <v>2159</v>
      </c>
      <c r="D1850" s="179" t="s">
        <v>214</v>
      </c>
      <c r="E1850" s="181">
        <v>0.5</v>
      </c>
    </row>
    <row r="1851" spans="2:5" ht="12.75" x14ac:dyDescent="0.2">
      <c r="B1851" s="179" t="s">
        <v>2160</v>
      </c>
      <c r="C1851" s="180" t="s">
        <v>2159</v>
      </c>
      <c r="D1851" s="179" t="s">
        <v>216</v>
      </c>
      <c r="E1851" s="181">
        <v>0.5</v>
      </c>
    </row>
    <row r="1852" spans="2:5" ht="12.75" x14ac:dyDescent="0.2">
      <c r="B1852" s="179" t="s">
        <v>2161</v>
      </c>
      <c r="C1852" s="180" t="s">
        <v>2162</v>
      </c>
      <c r="D1852" s="179" t="s">
        <v>214</v>
      </c>
      <c r="E1852" s="181">
        <v>0.5</v>
      </c>
    </row>
    <row r="1853" spans="2:5" ht="12.75" x14ac:dyDescent="0.2">
      <c r="B1853" s="179" t="s">
        <v>2163</v>
      </c>
      <c r="C1853" s="180" t="s">
        <v>2162</v>
      </c>
      <c r="D1853" s="179" t="s">
        <v>216</v>
      </c>
      <c r="E1853" s="181">
        <v>0.5</v>
      </c>
    </row>
    <row r="1854" spans="2:5" ht="12.75" x14ac:dyDescent="0.2">
      <c r="B1854" s="179" t="s">
        <v>2164</v>
      </c>
      <c r="C1854" s="180" t="s">
        <v>2162</v>
      </c>
      <c r="D1854" s="179" t="s">
        <v>216</v>
      </c>
      <c r="E1854" s="181">
        <v>0.5</v>
      </c>
    </row>
    <row r="1855" spans="2:5" ht="12.75" x14ac:dyDescent="0.2">
      <c r="B1855" s="179" t="s">
        <v>2165</v>
      </c>
      <c r="C1855" s="180" t="s">
        <v>2162</v>
      </c>
      <c r="D1855" s="179" t="s">
        <v>216</v>
      </c>
      <c r="E1855" s="181">
        <v>0.5</v>
      </c>
    </row>
    <row r="1856" spans="2:5" ht="12.75" x14ac:dyDescent="0.2">
      <c r="B1856" s="179" t="s">
        <v>2166</v>
      </c>
      <c r="C1856" s="180" t="s">
        <v>2162</v>
      </c>
      <c r="D1856" s="179" t="s">
        <v>216</v>
      </c>
      <c r="E1856" s="181">
        <v>0.5</v>
      </c>
    </row>
    <row r="1857" spans="2:5" ht="12.75" x14ac:dyDescent="0.2">
      <c r="B1857" s="179" t="s">
        <v>2167</v>
      </c>
      <c r="C1857" s="180" t="s">
        <v>2168</v>
      </c>
      <c r="D1857" s="179" t="s">
        <v>214</v>
      </c>
      <c r="E1857" s="181">
        <v>0.5</v>
      </c>
    </row>
    <row r="1858" spans="2:5" ht="12.75" x14ac:dyDescent="0.2">
      <c r="B1858" s="179" t="s">
        <v>2169</v>
      </c>
      <c r="C1858" s="180" t="s">
        <v>2168</v>
      </c>
      <c r="D1858" s="179" t="s">
        <v>216</v>
      </c>
      <c r="E1858" s="181">
        <v>0.5</v>
      </c>
    </row>
    <row r="1859" spans="2:5" ht="12.75" x14ac:dyDescent="0.2">
      <c r="B1859" s="179" t="s">
        <v>2170</v>
      </c>
      <c r="C1859" s="180" t="s">
        <v>2171</v>
      </c>
      <c r="D1859" s="179" t="s">
        <v>214</v>
      </c>
      <c r="E1859" s="181">
        <v>0.5</v>
      </c>
    </row>
    <row r="1860" spans="2:5" ht="12.75" x14ac:dyDescent="0.2">
      <c r="B1860" s="179" t="s">
        <v>2172</v>
      </c>
      <c r="C1860" s="180" t="s">
        <v>2171</v>
      </c>
      <c r="D1860" s="179" t="s">
        <v>216</v>
      </c>
      <c r="E1860" s="181">
        <v>0.5</v>
      </c>
    </row>
    <row r="1861" spans="2:5" ht="12.75" x14ac:dyDescent="0.2">
      <c r="B1861" s="179" t="s">
        <v>2173</v>
      </c>
      <c r="C1861" s="180" t="s">
        <v>2171</v>
      </c>
      <c r="D1861" s="179" t="s">
        <v>216</v>
      </c>
      <c r="E1861" s="181">
        <v>0.5</v>
      </c>
    </row>
    <row r="1862" spans="2:5" ht="12.75" x14ac:dyDescent="0.2">
      <c r="B1862" s="179" t="s">
        <v>2174</v>
      </c>
      <c r="C1862" s="180" t="s">
        <v>2171</v>
      </c>
      <c r="D1862" s="179" t="s">
        <v>216</v>
      </c>
      <c r="E1862" s="181">
        <v>0.5</v>
      </c>
    </row>
    <row r="1863" spans="2:5" ht="12.75" x14ac:dyDescent="0.2">
      <c r="B1863" s="179" t="s">
        <v>2175</v>
      </c>
      <c r="C1863" s="180" t="s">
        <v>2171</v>
      </c>
      <c r="D1863" s="179" t="s">
        <v>216</v>
      </c>
      <c r="E1863" s="181">
        <v>0.5</v>
      </c>
    </row>
    <row r="1864" spans="2:5" ht="12.75" x14ac:dyDescent="0.2">
      <c r="B1864" s="179" t="s">
        <v>2176</v>
      </c>
      <c r="C1864" s="180" t="s">
        <v>2171</v>
      </c>
      <c r="D1864" s="179" t="s">
        <v>216</v>
      </c>
      <c r="E1864" s="181">
        <v>0.5</v>
      </c>
    </row>
    <row r="1865" spans="2:5" ht="12.75" x14ac:dyDescent="0.2">
      <c r="B1865" s="179" t="s">
        <v>2177</v>
      </c>
      <c r="C1865" s="180" t="s">
        <v>2171</v>
      </c>
      <c r="D1865" s="179" t="s">
        <v>216</v>
      </c>
      <c r="E1865" s="181">
        <v>0.5</v>
      </c>
    </row>
    <row r="1866" spans="2:5" ht="12.75" x14ac:dyDescent="0.2">
      <c r="B1866" s="179" t="s">
        <v>2178</v>
      </c>
      <c r="C1866" s="180" t="s">
        <v>2171</v>
      </c>
      <c r="D1866" s="179" t="s">
        <v>216</v>
      </c>
      <c r="E1866" s="181">
        <v>0.5</v>
      </c>
    </row>
    <row r="1867" spans="2:5" ht="12.75" x14ac:dyDescent="0.2">
      <c r="B1867" s="179" t="s">
        <v>2179</v>
      </c>
      <c r="C1867" s="180" t="s">
        <v>2171</v>
      </c>
      <c r="D1867" s="179" t="s">
        <v>216</v>
      </c>
      <c r="E1867" s="181">
        <v>0.5</v>
      </c>
    </row>
    <row r="1868" spans="2:5" ht="12.75" x14ac:dyDescent="0.2">
      <c r="B1868" s="179" t="s">
        <v>2180</v>
      </c>
      <c r="C1868" s="180" t="s">
        <v>2171</v>
      </c>
      <c r="D1868" s="179" t="s">
        <v>216</v>
      </c>
      <c r="E1868" s="181">
        <v>0.5</v>
      </c>
    </row>
    <row r="1869" spans="2:5" ht="12.75" x14ac:dyDescent="0.2">
      <c r="B1869" s="179" t="s">
        <v>2181</v>
      </c>
      <c r="C1869" s="180" t="s">
        <v>2171</v>
      </c>
      <c r="D1869" s="179" t="s">
        <v>216</v>
      </c>
      <c r="E1869" s="181">
        <v>0.5</v>
      </c>
    </row>
    <row r="1870" spans="2:5" ht="12.75" x14ac:dyDescent="0.2">
      <c r="B1870" s="179" t="s">
        <v>2182</v>
      </c>
      <c r="C1870" s="180" t="s">
        <v>2171</v>
      </c>
      <c r="D1870" s="179" t="s">
        <v>216</v>
      </c>
      <c r="E1870" s="181">
        <v>0.5</v>
      </c>
    </row>
    <row r="1871" spans="2:5" ht="12.75" x14ac:dyDescent="0.2">
      <c r="B1871" s="179" t="s">
        <v>2183</v>
      </c>
      <c r="C1871" s="180" t="s">
        <v>2171</v>
      </c>
      <c r="D1871" s="179" t="s">
        <v>216</v>
      </c>
      <c r="E1871" s="181">
        <v>0.5</v>
      </c>
    </row>
    <row r="1872" spans="2:5" ht="12.75" x14ac:dyDescent="0.2">
      <c r="B1872" s="179" t="s">
        <v>2184</v>
      </c>
      <c r="C1872" s="180" t="s">
        <v>2171</v>
      </c>
      <c r="D1872" s="179" t="s">
        <v>216</v>
      </c>
      <c r="E1872" s="181">
        <v>0.5</v>
      </c>
    </row>
    <row r="1873" spans="2:5" ht="12.75" x14ac:dyDescent="0.2">
      <c r="B1873" s="179" t="s">
        <v>2185</v>
      </c>
      <c r="C1873" s="180" t="s">
        <v>2171</v>
      </c>
      <c r="D1873" s="179" t="s">
        <v>216</v>
      </c>
      <c r="E1873" s="181">
        <v>0.5</v>
      </c>
    </row>
    <row r="1874" spans="2:5" ht="12.75" x14ac:dyDescent="0.2">
      <c r="B1874" s="179" t="s">
        <v>2186</v>
      </c>
      <c r="C1874" s="180" t="s">
        <v>2171</v>
      </c>
      <c r="D1874" s="179" t="s">
        <v>216</v>
      </c>
      <c r="E1874" s="181">
        <v>0.5</v>
      </c>
    </row>
    <row r="1875" spans="2:5" ht="12.75" x14ac:dyDescent="0.2">
      <c r="B1875" s="179" t="s">
        <v>2187</v>
      </c>
      <c r="C1875" s="180" t="s">
        <v>2171</v>
      </c>
      <c r="D1875" s="179" t="s">
        <v>216</v>
      </c>
      <c r="E1875" s="181">
        <v>0.5</v>
      </c>
    </row>
    <row r="1876" spans="2:5" ht="12.75" x14ac:dyDescent="0.2">
      <c r="B1876" s="179" t="s">
        <v>2188</v>
      </c>
      <c r="C1876" s="180" t="s">
        <v>2171</v>
      </c>
      <c r="D1876" s="179" t="s">
        <v>216</v>
      </c>
      <c r="E1876" s="181">
        <v>0.5</v>
      </c>
    </row>
    <row r="1877" spans="2:5" ht="12.75" x14ac:dyDescent="0.2">
      <c r="B1877" s="179" t="s">
        <v>2189</v>
      </c>
      <c r="C1877" s="180" t="s">
        <v>2171</v>
      </c>
      <c r="D1877" s="179" t="s">
        <v>216</v>
      </c>
      <c r="E1877" s="181">
        <v>0.5</v>
      </c>
    </row>
    <row r="1878" spans="2:5" ht="12.75" x14ac:dyDescent="0.2">
      <c r="B1878" s="179" t="s">
        <v>2190</v>
      </c>
      <c r="C1878" s="180" t="s">
        <v>2171</v>
      </c>
      <c r="D1878" s="179" t="s">
        <v>216</v>
      </c>
      <c r="E1878" s="181">
        <v>0.5</v>
      </c>
    </row>
    <row r="1879" spans="2:5" ht="12.75" x14ac:dyDescent="0.2">
      <c r="B1879" s="179" t="s">
        <v>2191</v>
      </c>
      <c r="C1879" s="180" t="s">
        <v>2171</v>
      </c>
      <c r="D1879" s="179" t="s">
        <v>216</v>
      </c>
      <c r="E1879" s="181">
        <v>0.5</v>
      </c>
    </row>
    <row r="1880" spans="2:5" ht="12.75" x14ac:dyDescent="0.2">
      <c r="B1880" s="179" t="s">
        <v>2192</v>
      </c>
      <c r="C1880" s="180" t="s">
        <v>2171</v>
      </c>
      <c r="D1880" s="179" t="s">
        <v>216</v>
      </c>
      <c r="E1880" s="181">
        <v>0.5</v>
      </c>
    </row>
    <row r="1881" spans="2:5" ht="12.75" x14ac:dyDescent="0.2">
      <c r="B1881" s="179" t="s">
        <v>2193</v>
      </c>
      <c r="C1881" s="180" t="s">
        <v>2171</v>
      </c>
      <c r="D1881" s="179" t="s">
        <v>216</v>
      </c>
      <c r="E1881" s="181">
        <v>0.5</v>
      </c>
    </row>
    <row r="1882" spans="2:5" ht="12.75" x14ac:dyDescent="0.2">
      <c r="B1882" s="179" t="s">
        <v>2194</v>
      </c>
      <c r="C1882" s="180" t="s">
        <v>2171</v>
      </c>
      <c r="D1882" s="179" t="s">
        <v>216</v>
      </c>
      <c r="E1882" s="181">
        <v>0.5</v>
      </c>
    </row>
    <row r="1883" spans="2:5" ht="12.75" x14ac:dyDescent="0.2">
      <c r="B1883" s="179" t="s">
        <v>2195</v>
      </c>
      <c r="C1883" s="180" t="s">
        <v>2196</v>
      </c>
      <c r="D1883" s="179" t="s">
        <v>214</v>
      </c>
      <c r="E1883" s="181">
        <v>0.1</v>
      </c>
    </row>
    <row r="1884" spans="2:5" ht="12.75" x14ac:dyDescent="0.2">
      <c r="B1884" s="179" t="s">
        <v>2197</v>
      </c>
      <c r="C1884" s="180" t="s">
        <v>2196</v>
      </c>
      <c r="D1884" s="179" t="s">
        <v>216</v>
      </c>
      <c r="E1884" s="181">
        <v>0.1</v>
      </c>
    </row>
    <row r="1885" spans="2:5" ht="12.75" x14ac:dyDescent="0.2">
      <c r="B1885" s="179" t="s">
        <v>2198</v>
      </c>
      <c r="C1885" s="180" t="s">
        <v>2196</v>
      </c>
      <c r="D1885" s="179" t="s">
        <v>216</v>
      </c>
      <c r="E1885" s="181">
        <v>0.1</v>
      </c>
    </row>
    <row r="1886" spans="2:5" ht="12.75" x14ac:dyDescent="0.2">
      <c r="B1886" s="179" t="s">
        <v>2199</v>
      </c>
      <c r="C1886" s="180" t="s">
        <v>2196</v>
      </c>
      <c r="D1886" s="179" t="s">
        <v>216</v>
      </c>
      <c r="E1886" s="181">
        <v>0.1</v>
      </c>
    </row>
    <row r="1887" spans="2:5" ht="12.75" x14ac:dyDescent="0.2">
      <c r="B1887" s="179" t="s">
        <v>2200</v>
      </c>
      <c r="C1887" s="180" t="s">
        <v>2196</v>
      </c>
      <c r="D1887" s="179" t="s">
        <v>216</v>
      </c>
      <c r="E1887" s="181">
        <v>0.1</v>
      </c>
    </row>
    <row r="1888" spans="2:5" ht="12.75" x14ac:dyDescent="0.2">
      <c r="B1888" s="179" t="s">
        <v>2201</v>
      </c>
      <c r="C1888" s="180" t="s">
        <v>2196</v>
      </c>
      <c r="D1888" s="179" t="s">
        <v>216</v>
      </c>
      <c r="E1888" s="181">
        <v>0.1</v>
      </c>
    </row>
    <row r="1889" spans="2:5" ht="12.75" x14ac:dyDescent="0.2">
      <c r="B1889" s="179" t="s">
        <v>2202</v>
      </c>
      <c r="C1889" s="180" t="s">
        <v>2196</v>
      </c>
      <c r="D1889" s="179" t="s">
        <v>216</v>
      </c>
      <c r="E1889" s="181">
        <v>0.1</v>
      </c>
    </row>
    <row r="1890" spans="2:5" ht="12.75" x14ac:dyDescent="0.2">
      <c r="B1890" s="179" t="s">
        <v>2203</v>
      </c>
      <c r="C1890" s="180" t="s">
        <v>2196</v>
      </c>
      <c r="D1890" s="179" t="s">
        <v>216</v>
      </c>
      <c r="E1890" s="181">
        <v>0.1</v>
      </c>
    </row>
    <row r="1891" spans="2:5" ht="12.75" x14ac:dyDescent="0.2">
      <c r="B1891" s="179" t="s">
        <v>2204</v>
      </c>
      <c r="C1891" s="180" t="s">
        <v>2196</v>
      </c>
      <c r="D1891" s="179" t="s">
        <v>216</v>
      </c>
      <c r="E1891" s="181">
        <v>0.1</v>
      </c>
    </row>
    <row r="1892" spans="2:5" ht="12.75" x14ac:dyDescent="0.2">
      <c r="B1892" s="179" t="s">
        <v>2205</v>
      </c>
      <c r="C1892" s="180" t="s">
        <v>2196</v>
      </c>
      <c r="D1892" s="179" t="s">
        <v>216</v>
      </c>
      <c r="E1892" s="181">
        <v>0.1</v>
      </c>
    </row>
    <row r="1893" spans="2:5" ht="12.75" x14ac:dyDescent="0.2">
      <c r="B1893" s="179" t="s">
        <v>2206</v>
      </c>
      <c r="C1893" s="180" t="s">
        <v>2196</v>
      </c>
      <c r="D1893" s="179" t="s">
        <v>216</v>
      </c>
      <c r="E1893" s="181">
        <v>0.1</v>
      </c>
    </row>
    <row r="1894" spans="2:5" ht="12.75" x14ac:dyDescent="0.2">
      <c r="B1894" s="179" t="s">
        <v>2207</v>
      </c>
      <c r="C1894" s="180" t="s">
        <v>2196</v>
      </c>
      <c r="D1894" s="179" t="s">
        <v>216</v>
      </c>
      <c r="E1894" s="181">
        <v>0.1</v>
      </c>
    </row>
    <row r="1895" spans="2:5" ht="12.75" x14ac:dyDescent="0.2">
      <c r="B1895" s="179" t="s">
        <v>2208</v>
      </c>
      <c r="C1895" s="180" t="s">
        <v>2196</v>
      </c>
      <c r="D1895" s="179" t="s">
        <v>216</v>
      </c>
      <c r="E1895" s="181">
        <v>0.1</v>
      </c>
    </row>
    <row r="1896" spans="2:5" ht="12.75" x14ac:dyDescent="0.2">
      <c r="B1896" s="179" t="s">
        <v>2209</v>
      </c>
      <c r="C1896" s="180" t="s">
        <v>2196</v>
      </c>
      <c r="D1896" s="179" t="s">
        <v>216</v>
      </c>
      <c r="E1896" s="181">
        <v>0.1</v>
      </c>
    </row>
    <row r="1897" spans="2:5" ht="12.75" x14ac:dyDescent="0.2">
      <c r="B1897" s="179" t="s">
        <v>2210</v>
      </c>
      <c r="C1897" s="180" t="s">
        <v>2196</v>
      </c>
      <c r="D1897" s="179" t="s">
        <v>216</v>
      </c>
      <c r="E1897" s="181">
        <v>0.1</v>
      </c>
    </row>
    <row r="1898" spans="2:5" ht="12.75" x14ac:dyDescent="0.2">
      <c r="B1898" s="179" t="s">
        <v>2211</v>
      </c>
      <c r="C1898" s="180" t="s">
        <v>2196</v>
      </c>
      <c r="D1898" s="179" t="s">
        <v>216</v>
      </c>
      <c r="E1898" s="181">
        <v>0.1</v>
      </c>
    </row>
    <row r="1899" spans="2:5" ht="12.75" x14ac:dyDescent="0.2">
      <c r="B1899" s="179" t="s">
        <v>2212</v>
      </c>
      <c r="C1899" s="180" t="s">
        <v>2196</v>
      </c>
      <c r="D1899" s="179" t="s">
        <v>216</v>
      </c>
      <c r="E1899" s="181">
        <v>0.1</v>
      </c>
    </row>
    <row r="1900" spans="2:5" ht="12.75" x14ac:dyDescent="0.2">
      <c r="B1900" s="179" t="s">
        <v>2213</v>
      </c>
      <c r="C1900" s="180" t="s">
        <v>2196</v>
      </c>
      <c r="D1900" s="179" t="s">
        <v>216</v>
      </c>
      <c r="E1900" s="181">
        <v>0.1</v>
      </c>
    </row>
    <row r="1901" spans="2:5" ht="12.75" x14ac:dyDescent="0.2">
      <c r="B1901" s="179" t="s">
        <v>2214</v>
      </c>
      <c r="C1901" s="180" t="s">
        <v>2196</v>
      </c>
      <c r="D1901" s="179" t="s">
        <v>216</v>
      </c>
      <c r="E1901" s="181">
        <v>0.1</v>
      </c>
    </row>
    <row r="1902" spans="2:5" ht="12.75" x14ac:dyDescent="0.2">
      <c r="B1902" s="179" t="s">
        <v>2215</v>
      </c>
      <c r="C1902" s="180" t="s">
        <v>2196</v>
      </c>
      <c r="D1902" s="179" t="s">
        <v>216</v>
      </c>
      <c r="E1902" s="181">
        <v>0.1</v>
      </c>
    </row>
    <row r="1903" spans="2:5" ht="12.75" x14ac:dyDescent="0.2">
      <c r="B1903" s="179" t="s">
        <v>2216</v>
      </c>
      <c r="C1903" s="180" t="s">
        <v>2196</v>
      </c>
      <c r="D1903" s="179" t="s">
        <v>216</v>
      </c>
      <c r="E1903" s="181">
        <v>0.1</v>
      </c>
    </row>
    <row r="1904" spans="2:5" ht="12.75" x14ac:dyDescent="0.2">
      <c r="B1904" s="179" t="s">
        <v>2217</v>
      </c>
      <c r="C1904" s="180" t="s">
        <v>2196</v>
      </c>
      <c r="D1904" s="179" t="s">
        <v>216</v>
      </c>
      <c r="E1904" s="181">
        <v>0.1</v>
      </c>
    </row>
    <row r="1905" spans="2:5" ht="12.75" x14ac:dyDescent="0.2">
      <c r="B1905" s="179" t="s">
        <v>2218</v>
      </c>
      <c r="C1905" s="180" t="s">
        <v>2196</v>
      </c>
      <c r="D1905" s="179" t="s">
        <v>216</v>
      </c>
      <c r="E1905" s="181">
        <v>0.1</v>
      </c>
    </row>
    <row r="1906" spans="2:5" ht="12.75" x14ac:dyDescent="0.2">
      <c r="B1906" s="179" t="s">
        <v>2219</v>
      </c>
      <c r="C1906" s="180" t="s">
        <v>2196</v>
      </c>
      <c r="D1906" s="179" t="s">
        <v>216</v>
      </c>
      <c r="E1906" s="181">
        <v>0.1</v>
      </c>
    </row>
    <row r="1907" spans="2:5" ht="12.75" x14ac:dyDescent="0.2">
      <c r="B1907" s="179" t="s">
        <v>2220</v>
      </c>
      <c r="C1907" s="180" t="s">
        <v>2196</v>
      </c>
      <c r="D1907" s="179" t="s">
        <v>216</v>
      </c>
      <c r="E1907" s="181">
        <v>0.1</v>
      </c>
    </row>
    <row r="1908" spans="2:5" ht="12.75" x14ac:dyDescent="0.2">
      <c r="B1908" s="179" t="s">
        <v>2221</v>
      </c>
      <c r="C1908" s="180" t="s">
        <v>2196</v>
      </c>
      <c r="D1908" s="179" t="s">
        <v>216</v>
      </c>
      <c r="E1908" s="181">
        <v>0.1</v>
      </c>
    </row>
    <row r="1909" spans="2:5" ht="12.75" x14ac:dyDescent="0.2">
      <c r="B1909" s="179" t="s">
        <v>2222</v>
      </c>
      <c r="C1909" s="180" t="s">
        <v>2196</v>
      </c>
      <c r="D1909" s="179" t="s">
        <v>216</v>
      </c>
      <c r="E1909" s="181">
        <v>0.1</v>
      </c>
    </row>
    <row r="1910" spans="2:5" ht="12.75" x14ac:dyDescent="0.2">
      <c r="B1910" s="179" t="s">
        <v>2223</v>
      </c>
      <c r="C1910" s="180" t="s">
        <v>2196</v>
      </c>
      <c r="D1910" s="179" t="s">
        <v>216</v>
      </c>
      <c r="E1910" s="181">
        <v>0.1</v>
      </c>
    </row>
    <row r="1911" spans="2:5" ht="12.75" x14ac:dyDescent="0.2">
      <c r="B1911" s="179" t="s">
        <v>2224</v>
      </c>
      <c r="C1911" s="180" t="s">
        <v>2196</v>
      </c>
      <c r="D1911" s="179" t="s">
        <v>216</v>
      </c>
      <c r="E1911" s="181">
        <v>0.1</v>
      </c>
    </row>
    <row r="1912" spans="2:5" ht="12.75" x14ac:dyDescent="0.2">
      <c r="B1912" s="179" t="s">
        <v>2225</v>
      </c>
      <c r="C1912" s="180" t="s">
        <v>2196</v>
      </c>
      <c r="D1912" s="179" t="s">
        <v>216</v>
      </c>
      <c r="E1912" s="181">
        <v>0.1</v>
      </c>
    </row>
    <row r="1913" spans="2:5" ht="12.75" x14ac:dyDescent="0.2">
      <c r="B1913" s="179" t="s">
        <v>2226</v>
      </c>
      <c r="C1913" s="180" t="s">
        <v>2196</v>
      </c>
      <c r="D1913" s="179" t="s">
        <v>216</v>
      </c>
      <c r="E1913" s="181">
        <v>0.1</v>
      </c>
    </row>
    <row r="1914" spans="2:5" ht="12.75" x14ac:dyDescent="0.2">
      <c r="B1914" s="179" t="s">
        <v>2227</v>
      </c>
      <c r="C1914" s="180" t="s">
        <v>2196</v>
      </c>
      <c r="D1914" s="179" t="s">
        <v>216</v>
      </c>
      <c r="E1914" s="181">
        <v>0.1</v>
      </c>
    </row>
    <row r="1915" spans="2:5" ht="12.75" x14ac:dyDescent="0.2">
      <c r="B1915" s="179" t="s">
        <v>2228</v>
      </c>
      <c r="C1915" s="180" t="s">
        <v>2196</v>
      </c>
      <c r="D1915" s="179" t="s">
        <v>216</v>
      </c>
      <c r="E1915" s="181">
        <v>0.1</v>
      </c>
    </row>
    <row r="1916" spans="2:5" ht="12.75" x14ac:dyDescent="0.2">
      <c r="B1916" s="179" t="s">
        <v>2229</v>
      </c>
      <c r="C1916" s="180" t="s">
        <v>2196</v>
      </c>
      <c r="D1916" s="179" t="s">
        <v>216</v>
      </c>
      <c r="E1916" s="181">
        <v>0.1</v>
      </c>
    </row>
    <row r="1917" spans="2:5" ht="12.75" x14ac:dyDescent="0.2">
      <c r="B1917" s="179" t="s">
        <v>2230</v>
      </c>
      <c r="C1917" s="180" t="s">
        <v>2196</v>
      </c>
      <c r="D1917" s="179" t="s">
        <v>216</v>
      </c>
      <c r="E1917" s="181">
        <v>0.1</v>
      </c>
    </row>
    <row r="1918" spans="2:5" ht="12.75" x14ac:dyDescent="0.2">
      <c r="B1918" s="179" t="s">
        <v>2231</v>
      </c>
      <c r="C1918" s="180" t="s">
        <v>2196</v>
      </c>
      <c r="D1918" s="179" t="s">
        <v>216</v>
      </c>
      <c r="E1918" s="181">
        <v>0.1</v>
      </c>
    </row>
    <row r="1919" spans="2:5" ht="12.75" x14ac:dyDescent="0.2">
      <c r="B1919" s="179" t="s">
        <v>2232</v>
      </c>
      <c r="C1919" s="180" t="s">
        <v>2196</v>
      </c>
      <c r="D1919" s="179" t="s">
        <v>216</v>
      </c>
      <c r="E1919" s="181">
        <v>0.1</v>
      </c>
    </row>
    <row r="1920" spans="2:5" ht="12.75" x14ac:dyDescent="0.2">
      <c r="B1920" s="179" t="s">
        <v>2233</v>
      </c>
      <c r="C1920" s="180" t="s">
        <v>2196</v>
      </c>
      <c r="D1920" s="179" t="s">
        <v>216</v>
      </c>
      <c r="E1920" s="181">
        <v>0.1</v>
      </c>
    </row>
    <row r="1921" spans="2:5" ht="12.75" x14ac:dyDescent="0.2">
      <c r="B1921" s="179" t="s">
        <v>2234</v>
      </c>
      <c r="C1921" s="180" t="s">
        <v>2196</v>
      </c>
      <c r="D1921" s="179" t="s">
        <v>216</v>
      </c>
      <c r="E1921" s="181">
        <v>0.1</v>
      </c>
    </row>
    <row r="1922" spans="2:5" ht="12.75" x14ac:dyDescent="0.2">
      <c r="B1922" s="179" t="s">
        <v>2235</v>
      </c>
      <c r="C1922" s="180" t="s">
        <v>2196</v>
      </c>
      <c r="D1922" s="179" t="s">
        <v>216</v>
      </c>
      <c r="E1922" s="181">
        <v>0.1</v>
      </c>
    </row>
    <row r="1923" spans="2:5" ht="12.75" x14ac:dyDescent="0.2">
      <c r="B1923" s="179" t="s">
        <v>2236</v>
      </c>
      <c r="C1923" s="180" t="s">
        <v>2196</v>
      </c>
      <c r="D1923" s="179" t="s">
        <v>216</v>
      </c>
      <c r="E1923" s="181">
        <v>0.1</v>
      </c>
    </row>
    <row r="1924" spans="2:5" ht="12.75" x14ac:dyDescent="0.2">
      <c r="B1924" s="179" t="s">
        <v>2237</v>
      </c>
      <c r="C1924" s="180" t="s">
        <v>2196</v>
      </c>
      <c r="D1924" s="179" t="s">
        <v>216</v>
      </c>
      <c r="E1924" s="181">
        <v>0.1</v>
      </c>
    </row>
    <row r="1925" spans="2:5" ht="12.75" x14ac:dyDescent="0.2">
      <c r="B1925" s="179" t="s">
        <v>2238</v>
      </c>
      <c r="C1925" s="180" t="s">
        <v>2196</v>
      </c>
      <c r="D1925" s="179" t="s">
        <v>216</v>
      </c>
      <c r="E1925" s="181">
        <v>0.1</v>
      </c>
    </row>
    <row r="1926" spans="2:5" ht="12.75" x14ac:dyDescent="0.2">
      <c r="B1926" s="179" t="s">
        <v>2239</v>
      </c>
      <c r="C1926" s="180" t="s">
        <v>2196</v>
      </c>
      <c r="D1926" s="179" t="s">
        <v>216</v>
      </c>
      <c r="E1926" s="181">
        <v>0.1</v>
      </c>
    </row>
    <row r="1927" spans="2:5" ht="12.75" x14ac:dyDescent="0.2">
      <c r="B1927" s="179" t="s">
        <v>2240</v>
      </c>
      <c r="C1927" s="180" t="s">
        <v>2196</v>
      </c>
      <c r="D1927" s="179" t="s">
        <v>216</v>
      </c>
      <c r="E1927" s="181">
        <v>0.1</v>
      </c>
    </row>
    <row r="1928" spans="2:5" ht="12.75" x14ac:dyDescent="0.2">
      <c r="B1928" s="179" t="s">
        <v>2241</v>
      </c>
      <c r="C1928" s="180" t="s">
        <v>2196</v>
      </c>
      <c r="D1928" s="179" t="s">
        <v>216</v>
      </c>
      <c r="E1928" s="181">
        <v>0.1</v>
      </c>
    </row>
    <row r="1929" spans="2:5" ht="12.75" x14ac:dyDescent="0.2">
      <c r="B1929" s="179" t="s">
        <v>2242</v>
      </c>
      <c r="C1929" s="180" t="s">
        <v>2196</v>
      </c>
      <c r="D1929" s="179" t="s">
        <v>216</v>
      </c>
      <c r="E1929" s="181">
        <v>0.1</v>
      </c>
    </row>
    <row r="1930" spans="2:5" ht="12.75" x14ac:dyDescent="0.2">
      <c r="B1930" s="179" t="s">
        <v>2243</v>
      </c>
      <c r="C1930" s="180" t="s">
        <v>2196</v>
      </c>
      <c r="D1930" s="179" t="s">
        <v>216</v>
      </c>
      <c r="E1930" s="181">
        <v>0.1</v>
      </c>
    </row>
    <row r="1931" spans="2:5" ht="12.75" x14ac:dyDescent="0.2">
      <c r="B1931" s="179" t="s">
        <v>2244</v>
      </c>
      <c r="C1931" s="180" t="s">
        <v>2196</v>
      </c>
      <c r="D1931" s="179" t="s">
        <v>216</v>
      </c>
      <c r="E1931" s="181">
        <v>0.1</v>
      </c>
    </row>
    <row r="1932" spans="2:5" ht="12.75" x14ac:dyDescent="0.2">
      <c r="B1932" s="179" t="s">
        <v>2245</v>
      </c>
      <c r="C1932" s="180" t="s">
        <v>2196</v>
      </c>
      <c r="D1932" s="179" t="s">
        <v>216</v>
      </c>
      <c r="E1932" s="181">
        <v>0.1</v>
      </c>
    </row>
    <row r="1933" spans="2:5" ht="12.75" x14ac:dyDescent="0.2">
      <c r="B1933" s="179" t="s">
        <v>2246</v>
      </c>
      <c r="C1933" s="180" t="s">
        <v>2196</v>
      </c>
      <c r="D1933" s="179" t="s">
        <v>216</v>
      </c>
      <c r="E1933" s="181">
        <v>0.1</v>
      </c>
    </row>
    <row r="1934" spans="2:5" ht="12.75" x14ac:dyDescent="0.2">
      <c r="B1934" s="179" t="s">
        <v>2247</v>
      </c>
      <c r="C1934" s="180" t="s">
        <v>2196</v>
      </c>
      <c r="D1934" s="179" t="s">
        <v>216</v>
      </c>
      <c r="E1934" s="181">
        <v>0.1</v>
      </c>
    </row>
    <row r="1935" spans="2:5" ht="12.75" x14ac:dyDescent="0.2">
      <c r="B1935" s="179" t="s">
        <v>2248</v>
      </c>
      <c r="C1935" s="180" t="s">
        <v>2196</v>
      </c>
      <c r="D1935" s="179" t="s">
        <v>216</v>
      </c>
      <c r="E1935" s="181">
        <v>0.1</v>
      </c>
    </row>
    <row r="1936" spans="2:5" ht="12.75" x14ac:dyDescent="0.2">
      <c r="B1936" s="179" t="s">
        <v>2249</v>
      </c>
      <c r="C1936" s="180" t="s">
        <v>2196</v>
      </c>
      <c r="D1936" s="179" t="s">
        <v>216</v>
      </c>
      <c r="E1936" s="181">
        <v>0.1</v>
      </c>
    </row>
    <row r="1937" spans="2:5" ht="12.75" x14ac:dyDescent="0.2">
      <c r="B1937" s="179" t="s">
        <v>2250</v>
      </c>
      <c r="C1937" s="180" t="s">
        <v>2196</v>
      </c>
      <c r="D1937" s="179" t="s">
        <v>216</v>
      </c>
      <c r="E1937" s="181">
        <v>0.1</v>
      </c>
    </row>
    <row r="1938" spans="2:5" ht="12.75" x14ac:dyDescent="0.2">
      <c r="B1938" s="179" t="s">
        <v>2251</v>
      </c>
      <c r="C1938" s="180" t="s">
        <v>2196</v>
      </c>
      <c r="D1938" s="179" t="s">
        <v>216</v>
      </c>
      <c r="E1938" s="181">
        <v>0.1</v>
      </c>
    </row>
    <row r="1939" spans="2:5" ht="12.75" x14ac:dyDescent="0.2">
      <c r="B1939" s="179" t="s">
        <v>2252</v>
      </c>
      <c r="C1939" s="180" t="s">
        <v>2196</v>
      </c>
      <c r="D1939" s="179" t="s">
        <v>216</v>
      </c>
      <c r="E1939" s="181">
        <v>0.1</v>
      </c>
    </row>
    <row r="1940" spans="2:5" ht="12.75" x14ac:dyDescent="0.2">
      <c r="B1940" s="179" t="s">
        <v>2253</v>
      </c>
      <c r="C1940" s="180" t="s">
        <v>2196</v>
      </c>
      <c r="D1940" s="179" t="s">
        <v>216</v>
      </c>
      <c r="E1940" s="181">
        <v>0.1</v>
      </c>
    </row>
    <row r="1941" spans="2:5" ht="12.75" x14ac:dyDescent="0.2">
      <c r="B1941" s="179" t="s">
        <v>2254</v>
      </c>
      <c r="C1941" s="180" t="s">
        <v>2196</v>
      </c>
      <c r="D1941" s="179" t="s">
        <v>216</v>
      </c>
      <c r="E1941" s="181">
        <v>0.1</v>
      </c>
    </row>
    <row r="1942" spans="2:5" ht="12.75" x14ac:dyDescent="0.2">
      <c r="B1942" s="179" t="s">
        <v>2255</v>
      </c>
      <c r="C1942" s="180" t="s">
        <v>2196</v>
      </c>
      <c r="D1942" s="179" t="s">
        <v>216</v>
      </c>
      <c r="E1942" s="181">
        <v>0.1</v>
      </c>
    </row>
    <row r="1943" spans="2:5" ht="12.75" x14ac:dyDescent="0.2">
      <c r="B1943" s="179" t="s">
        <v>2256</v>
      </c>
      <c r="C1943" s="180" t="s">
        <v>2196</v>
      </c>
      <c r="D1943" s="179" t="s">
        <v>216</v>
      </c>
      <c r="E1943" s="181">
        <v>0.1</v>
      </c>
    </row>
    <row r="1944" spans="2:5" ht="12.75" x14ac:dyDescent="0.2">
      <c r="B1944" s="179" t="s">
        <v>2257</v>
      </c>
      <c r="C1944" s="180" t="s">
        <v>2196</v>
      </c>
      <c r="D1944" s="179" t="s">
        <v>216</v>
      </c>
      <c r="E1944" s="181">
        <v>0.1</v>
      </c>
    </row>
    <row r="1945" spans="2:5" ht="12.75" x14ac:dyDescent="0.2">
      <c r="B1945" s="179" t="s">
        <v>2258</v>
      </c>
      <c r="C1945" s="180" t="s">
        <v>2196</v>
      </c>
      <c r="D1945" s="179" t="s">
        <v>216</v>
      </c>
      <c r="E1945" s="181">
        <v>0.1</v>
      </c>
    </row>
    <row r="1946" spans="2:5" ht="12.75" x14ac:dyDescent="0.2">
      <c r="B1946" s="179" t="s">
        <v>2259</v>
      </c>
      <c r="C1946" s="180" t="s">
        <v>2196</v>
      </c>
      <c r="D1946" s="179" t="s">
        <v>216</v>
      </c>
      <c r="E1946" s="181">
        <v>0.1</v>
      </c>
    </row>
    <row r="1947" spans="2:5" ht="12.75" x14ac:dyDescent="0.2">
      <c r="B1947" s="179" t="s">
        <v>2260</v>
      </c>
      <c r="C1947" s="180" t="s">
        <v>2196</v>
      </c>
      <c r="D1947" s="179" t="s">
        <v>216</v>
      </c>
      <c r="E1947" s="181">
        <v>0.1</v>
      </c>
    </row>
    <row r="1948" spans="2:5" ht="12.75" x14ac:dyDescent="0.2">
      <c r="B1948" s="179" t="s">
        <v>2261</v>
      </c>
      <c r="C1948" s="180" t="s">
        <v>2196</v>
      </c>
      <c r="D1948" s="179" t="s">
        <v>216</v>
      </c>
      <c r="E1948" s="181">
        <v>0.1</v>
      </c>
    </row>
    <row r="1949" spans="2:5" ht="12.75" x14ac:dyDescent="0.2">
      <c r="B1949" s="179" t="s">
        <v>2262</v>
      </c>
      <c r="C1949" s="180" t="s">
        <v>2196</v>
      </c>
      <c r="D1949" s="179" t="s">
        <v>216</v>
      </c>
      <c r="E1949" s="181">
        <v>0.1</v>
      </c>
    </row>
    <row r="1950" spans="2:5" ht="12.75" x14ac:dyDescent="0.2">
      <c r="B1950" s="179" t="s">
        <v>2263</v>
      </c>
      <c r="C1950" s="180" t="s">
        <v>2196</v>
      </c>
      <c r="D1950" s="179" t="s">
        <v>216</v>
      </c>
      <c r="E1950" s="181">
        <v>0.1</v>
      </c>
    </row>
    <row r="1951" spans="2:5" ht="12.75" x14ac:dyDescent="0.2">
      <c r="B1951" s="179" t="s">
        <v>2264</v>
      </c>
      <c r="C1951" s="180" t="s">
        <v>2196</v>
      </c>
      <c r="D1951" s="179" t="s">
        <v>216</v>
      </c>
      <c r="E1951" s="181">
        <v>0.1</v>
      </c>
    </row>
    <row r="1952" spans="2:5" ht="12.75" x14ac:dyDescent="0.2">
      <c r="B1952" s="179" t="s">
        <v>2265</v>
      </c>
      <c r="C1952" s="180" t="s">
        <v>2196</v>
      </c>
      <c r="D1952" s="179" t="s">
        <v>216</v>
      </c>
      <c r="E1952" s="181">
        <v>0.1</v>
      </c>
    </row>
    <row r="1953" spans="2:5" ht="12.75" x14ac:dyDescent="0.2">
      <c r="B1953" s="179" t="s">
        <v>2266</v>
      </c>
      <c r="C1953" s="180" t="s">
        <v>2196</v>
      </c>
      <c r="D1953" s="179" t="s">
        <v>216</v>
      </c>
      <c r="E1953" s="181">
        <v>0.1</v>
      </c>
    </row>
    <row r="1954" spans="2:5" ht="12.75" x14ac:dyDescent="0.2">
      <c r="B1954" s="179" t="s">
        <v>2267</v>
      </c>
      <c r="C1954" s="180" t="s">
        <v>2196</v>
      </c>
      <c r="D1954" s="179" t="s">
        <v>216</v>
      </c>
      <c r="E1954" s="181">
        <v>0.1</v>
      </c>
    </row>
    <row r="1955" spans="2:5" ht="12.75" x14ac:dyDescent="0.2">
      <c r="B1955" s="179" t="s">
        <v>2268</v>
      </c>
      <c r="C1955" s="180" t="s">
        <v>2196</v>
      </c>
      <c r="D1955" s="179" t="s">
        <v>216</v>
      </c>
      <c r="E1955" s="181">
        <v>0.1</v>
      </c>
    </row>
    <row r="1956" spans="2:5" ht="12.75" x14ac:dyDescent="0.2">
      <c r="B1956" s="179" t="s">
        <v>2269</v>
      </c>
      <c r="C1956" s="180" t="s">
        <v>2196</v>
      </c>
      <c r="D1956" s="179" t="s">
        <v>216</v>
      </c>
      <c r="E1956" s="181">
        <v>0.1</v>
      </c>
    </row>
    <row r="1957" spans="2:5" ht="12.75" x14ac:dyDescent="0.2">
      <c r="B1957" s="179" t="s">
        <v>2270</v>
      </c>
      <c r="C1957" s="180" t="s">
        <v>2196</v>
      </c>
      <c r="D1957" s="179" t="s">
        <v>216</v>
      </c>
      <c r="E1957" s="181">
        <v>0.1</v>
      </c>
    </row>
    <row r="1958" spans="2:5" ht="12.75" x14ac:dyDescent="0.2">
      <c r="B1958" s="179" t="s">
        <v>2271</v>
      </c>
      <c r="C1958" s="180" t="s">
        <v>2196</v>
      </c>
      <c r="D1958" s="179" t="s">
        <v>216</v>
      </c>
      <c r="E1958" s="181">
        <v>0.1</v>
      </c>
    </row>
    <row r="1959" spans="2:5" ht="12.75" x14ac:dyDescent="0.2">
      <c r="B1959" s="179" t="s">
        <v>2272</v>
      </c>
      <c r="C1959" s="180" t="s">
        <v>2196</v>
      </c>
      <c r="D1959" s="179" t="s">
        <v>216</v>
      </c>
      <c r="E1959" s="181">
        <v>0.1</v>
      </c>
    </row>
    <row r="1960" spans="2:5" ht="12.75" x14ac:dyDescent="0.2">
      <c r="B1960" s="179" t="s">
        <v>2273</v>
      </c>
      <c r="C1960" s="180" t="s">
        <v>2196</v>
      </c>
      <c r="D1960" s="179" t="s">
        <v>216</v>
      </c>
      <c r="E1960" s="181">
        <v>0.1</v>
      </c>
    </row>
    <row r="1961" spans="2:5" ht="12.75" x14ac:dyDescent="0.2">
      <c r="B1961" s="179" t="s">
        <v>2274</v>
      </c>
      <c r="C1961" s="180" t="s">
        <v>2196</v>
      </c>
      <c r="D1961" s="179" t="s">
        <v>216</v>
      </c>
      <c r="E1961" s="181">
        <v>0.1</v>
      </c>
    </row>
    <row r="1962" spans="2:5" ht="12.75" x14ac:dyDescent="0.2">
      <c r="B1962" s="179" t="s">
        <v>2275</v>
      </c>
      <c r="C1962" s="180" t="s">
        <v>2196</v>
      </c>
      <c r="D1962" s="179" t="s">
        <v>216</v>
      </c>
      <c r="E1962" s="181">
        <v>0.1</v>
      </c>
    </row>
    <row r="1963" spans="2:5" ht="12.75" x14ac:dyDescent="0.2">
      <c r="B1963" s="179" t="s">
        <v>2276</v>
      </c>
      <c r="C1963" s="180" t="s">
        <v>2196</v>
      </c>
      <c r="D1963" s="179" t="s">
        <v>216</v>
      </c>
      <c r="E1963" s="181">
        <v>0.1</v>
      </c>
    </row>
    <row r="1964" spans="2:5" ht="12.75" x14ac:dyDescent="0.2">
      <c r="B1964" s="179" t="s">
        <v>2277</v>
      </c>
      <c r="C1964" s="180" t="s">
        <v>2196</v>
      </c>
      <c r="D1964" s="179" t="s">
        <v>216</v>
      </c>
      <c r="E1964" s="181">
        <v>0.1</v>
      </c>
    </row>
    <row r="1965" spans="2:5" ht="12.75" x14ac:dyDescent="0.2">
      <c r="B1965" s="179" t="s">
        <v>2278</v>
      </c>
      <c r="C1965" s="180" t="s">
        <v>2196</v>
      </c>
      <c r="D1965" s="179" t="s">
        <v>216</v>
      </c>
      <c r="E1965" s="181">
        <v>0.1</v>
      </c>
    </row>
    <row r="1966" spans="2:5" ht="12.75" x14ac:dyDescent="0.2">
      <c r="B1966" s="179" t="s">
        <v>2279</v>
      </c>
      <c r="C1966" s="180" t="s">
        <v>2196</v>
      </c>
      <c r="D1966" s="179" t="s">
        <v>216</v>
      </c>
      <c r="E1966" s="181">
        <v>0.1</v>
      </c>
    </row>
    <row r="1967" spans="2:5" ht="12.75" x14ac:dyDescent="0.2">
      <c r="B1967" s="179" t="s">
        <v>2280</v>
      </c>
      <c r="C1967" s="180" t="s">
        <v>2196</v>
      </c>
      <c r="D1967" s="179" t="s">
        <v>216</v>
      </c>
      <c r="E1967" s="181">
        <v>0.1</v>
      </c>
    </row>
    <row r="1968" spans="2:5" ht="12.75" x14ac:dyDescent="0.2">
      <c r="B1968" s="179" t="s">
        <v>2281</v>
      </c>
      <c r="C1968" s="180" t="s">
        <v>2196</v>
      </c>
      <c r="D1968" s="179" t="s">
        <v>216</v>
      </c>
      <c r="E1968" s="181">
        <v>0.1</v>
      </c>
    </row>
    <row r="1969" spans="2:5" ht="12.75" x14ac:dyDescent="0.2">
      <c r="B1969" s="179" t="s">
        <v>2282</v>
      </c>
      <c r="C1969" s="180" t="s">
        <v>2196</v>
      </c>
      <c r="D1969" s="179" t="s">
        <v>216</v>
      </c>
      <c r="E1969" s="181">
        <v>0.1</v>
      </c>
    </row>
    <row r="1970" spans="2:5" ht="12.75" x14ac:dyDescent="0.2">
      <c r="B1970" s="179" t="s">
        <v>2283</v>
      </c>
      <c r="C1970" s="180" t="s">
        <v>2196</v>
      </c>
      <c r="D1970" s="179" t="s">
        <v>216</v>
      </c>
      <c r="E1970" s="181">
        <v>0.1</v>
      </c>
    </row>
    <row r="1971" spans="2:5" ht="12.75" x14ac:dyDescent="0.2">
      <c r="B1971" s="179" t="s">
        <v>2284</v>
      </c>
      <c r="C1971" s="180" t="s">
        <v>2196</v>
      </c>
      <c r="D1971" s="179" t="s">
        <v>216</v>
      </c>
      <c r="E1971" s="181">
        <v>0.1</v>
      </c>
    </row>
    <row r="1972" spans="2:5" ht="12.75" x14ac:dyDescent="0.2">
      <c r="B1972" s="179" t="s">
        <v>2285</v>
      </c>
      <c r="C1972" s="180" t="s">
        <v>2196</v>
      </c>
      <c r="D1972" s="179" t="s">
        <v>216</v>
      </c>
      <c r="E1972" s="181">
        <v>0.1</v>
      </c>
    </row>
    <row r="1973" spans="2:5" ht="12.75" x14ac:dyDescent="0.2">
      <c r="B1973" s="179" t="s">
        <v>2286</v>
      </c>
      <c r="C1973" s="180" t="s">
        <v>2196</v>
      </c>
      <c r="D1973" s="179" t="s">
        <v>216</v>
      </c>
      <c r="E1973" s="181">
        <v>0.1</v>
      </c>
    </row>
    <row r="1974" spans="2:5" ht="12.75" x14ac:dyDescent="0.2">
      <c r="B1974" s="179" t="s">
        <v>2287</v>
      </c>
      <c r="C1974" s="180" t="s">
        <v>2196</v>
      </c>
      <c r="D1974" s="179" t="s">
        <v>216</v>
      </c>
      <c r="E1974" s="181">
        <v>0.1</v>
      </c>
    </row>
    <row r="1975" spans="2:5" ht="12.75" x14ac:dyDescent="0.2">
      <c r="B1975" s="179" t="s">
        <v>2288</v>
      </c>
      <c r="C1975" s="180" t="s">
        <v>2196</v>
      </c>
      <c r="D1975" s="179" t="s">
        <v>216</v>
      </c>
      <c r="E1975" s="181">
        <v>0.1</v>
      </c>
    </row>
    <row r="1976" spans="2:5" ht="12.75" x14ac:dyDescent="0.2">
      <c r="B1976" s="179" t="s">
        <v>2289</v>
      </c>
      <c r="C1976" s="180" t="s">
        <v>2196</v>
      </c>
      <c r="D1976" s="179" t="s">
        <v>216</v>
      </c>
      <c r="E1976" s="181">
        <v>0.1</v>
      </c>
    </row>
    <row r="1977" spans="2:5" ht="12.75" x14ac:dyDescent="0.2">
      <c r="B1977" s="179" t="s">
        <v>2290</v>
      </c>
      <c r="C1977" s="180" t="s">
        <v>2196</v>
      </c>
      <c r="D1977" s="179" t="s">
        <v>216</v>
      </c>
      <c r="E1977" s="181">
        <v>0.1</v>
      </c>
    </row>
    <row r="1978" spans="2:5" ht="12.75" x14ac:dyDescent="0.2">
      <c r="B1978" s="179" t="s">
        <v>2291</v>
      </c>
      <c r="C1978" s="180" t="s">
        <v>2196</v>
      </c>
      <c r="D1978" s="179" t="s">
        <v>216</v>
      </c>
      <c r="E1978" s="181">
        <v>0.1</v>
      </c>
    </row>
    <row r="1979" spans="2:5" ht="12.75" x14ac:dyDescent="0.2">
      <c r="B1979" s="179" t="s">
        <v>2292</v>
      </c>
      <c r="C1979" s="180" t="s">
        <v>2196</v>
      </c>
      <c r="D1979" s="179" t="s">
        <v>216</v>
      </c>
      <c r="E1979" s="181">
        <v>0.1</v>
      </c>
    </row>
    <row r="1980" spans="2:5" ht="12.75" x14ac:dyDescent="0.2">
      <c r="B1980" s="179" t="s">
        <v>2293</v>
      </c>
      <c r="C1980" s="180" t="s">
        <v>2196</v>
      </c>
      <c r="D1980" s="179" t="s">
        <v>216</v>
      </c>
      <c r="E1980" s="181">
        <v>0.1</v>
      </c>
    </row>
    <row r="1981" spans="2:5" ht="12.75" x14ac:dyDescent="0.2">
      <c r="B1981" s="179" t="s">
        <v>2294</v>
      </c>
      <c r="C1981" s="180" t="s">
        <v>2196</v>
      </c>
      <c r="D1981" s="179" t="s">
        <v>216</v>
      </c>
      <c r="E1981" s="181">
        <v>0.1</v>
      </c>
    </row>
    <row r="1982" spans="2:5" ht="12.75" x14ac:dyDescent="0.2">
      <c r="B1982" s="179" t="s">
        <v>2295</v>
      </c>
      <c r="C1982" s="180" t="s">
        <v>2196</v>
      </c>
      <c r="D1982" s="179" t="s">
        <v>216</v>
      </c>
      <c r="E1982" s="181">
        <v>0.1</v>
      </c>
    </row>
    <row r="1983" spans="2:5" ht="12.75" x14ac:dyDescent="0.2">
      <c r="B1983" s="179" t="s">
        <v>2296</v>
      </c>
      <c r="C1983" s="180" t="s">
        <v>2196</v>
      </c>
      <c r="D1983" s="179" t="s">
        <v>216</v>
      </c>
      <c r="E1983" s="181">
        <v>0.1</v>
      </c>
    </row>
    <row r="1984" spans="2:5" ht="12.75" x14ac:dyDescent="0.2">
      <c r="B1984" s="179" t="s">
        <v>2297</v>
      </c>
      <c r="C1984" s="180" t="s">
        <v>2196</v>
      </c>
      <c r="D1984" s="179" t="s">
        <v>216</v>
      </c>
      <c r="E1984" s="181">
        <v>0.1</v>
      </c>
    </row>
    <row r="1985" spans="2:5" ht="12.75" x14ac:dyDescent="0.2">
      <c r="B1985" s="179" t="s">
        <v>2298</v>
      </c>
      <c r="C1985" s="180" t="s">
        <v>2196</v>
      </c>
      <c r="D1985" s="179" t="s">
        <v>216</v>
      </c>
      <c r="E1985" s="181">
        <v>0.1</v>
      </c>
    </row>
    <row r="1986" spans="2:5" ht="12.75" x14ac:dyDescent="0.2">
      <c r="B1986" s="179" t="s">
        <v>2299</v>
      </c>
      <c r="C1986" s="180" t="s">
        <v>2196</v>
      </c>
      <c r="D1986" s="179" t="s">
        <v>216</v>
      </c>
      <c r="E1986" s="181">
        <v>0.1</v>
      </c>
    </row>
    <row r="1987" spans="2:5" ht="12.75" x14ac:dyDescent="0.2">
      <c r="B1987" s="179" t="s">
        <v>2300</v>
      </c>
      <c r="C1987" s="180" t="s">
        <v>2196</v>
      </c>
      <c r="D1987" s="179" t="s">
        <v>216</v>
      </c>
      <c r="E1987" s="181">
        <v>0.1</v>
      </c>
    </row>
    <row r="1988" spans="2:5" ht="12.75" x14ac:dyDescent="0.2">
      <c r="B1988" s="179" t="s">
        <v>2301</v>
      </c>
      <c r="C1988" s="180" t="s">
        <v>2196</v>
      </c>
      <c r="D1988" s="179" t="s">
        <v>216</v>
      </c>
      <c r="E1988" s="181">
        <v>0.1</v>
      </c>
    </row>
    <row r="1989" spans="2:5" ht="12.75" x14ac:dyDescent="0.2">
      <c r="B1989" s="179" t="s">
        <v>2302</v>
      </c>
      <c r="C1989" s="180" t="s">
        <v>2196</v>
      </c>
      <c r="D1989" s="179" t="s">
        <v>216</v>
      </c>
      <c r="E1989" s="181">
        <v>0.1</v>
      </c>
    </row>
    <row r="1990" spans="2:5" ht="12.75" x14ac:dyDescent="0.2">
      <c r="B1990" s="179" t="s">
        <v>2303</v>
      </c>
      <c r="C1990" s="180" t="s">
        <v>2196</v>
      </c>
      <c r="D1990" s="179" t="s">
        <v>216</v>
      </c>
      <c r="E1990" s="181">
        <v>0.1</v>
      </c>
    </row>
    <row r="1991" spans="2:5" ht="12.75" x14ac:dyDescent="0.2">
      <c r="B1991" s="179" t="s">
        <v>2304</v>
      </c>
      <c r="C1991" s="180" t="s">
        <v>2196</v>
      </c>
      <c r="D1991" s="179" t="s">
        <v>216</v>
      </c>
      <c r="E1991" s="181">
        <v>0.1</v>
      </c>
    </row>
    <row r="1992" spans="2:5" ht="12.75" x14ac:dyDescent="0.2">
      <c r="B1992" s="179" t="s">
        <v>2305</v>
      </c>
      <c r="C1992" s="180" t="s">
        <v>2196</v>
      </c>
      <c r="D1992" s="179" t="s">
        <v>216</v>
      </c>
      <c r="E1992" s="181">
        <v>0.1</v>
      </c>
    </row>
    <row r="1993" spans="2:5" ht="12.75" x14ac:dyDescent="0.2">
      <c r="B1993" s="179" t="s">
        <v>2306</v>
      </c>
      <c r="C1993" s="180" t="s">
        <v>2196</v>
      </c>
      <c r="D1993" s="179" t="s">
        <v>216</v>
      </c>
      <c r="E1993" s="181">
        <v>0.1</v>
      </c>
    </row>
    <row r="1994" spans="2:5" ht="12.75" x14ac:dyDescent="0.2">
      <c r="B1994" s="179" t="s">
        <v>2307</v>
      </c>
      <c r="C1994" s="180" t="s">
        <v>2196</v>
      </c>
      <c r="D1994" s="179" t="s">
        <v>216</v>
      </c>
      <c r="E1994" s="181">
        <v>0.1</v>
      </c>
    </row>
    <row r="1995" spans="2:5" ht="12.75" x14ac:dyDescent="0.2">
      <c r="B1995" s="179" t="s">
        <v>2308</v>
      </c>
      <c r="C1995" s="180" t="s">
        <v>2196</v>
      </c>
      <c r="D1995" s="179" t="s">
        <v>216</v>
      </c>
      <c r="E1995" s="181">
        <v>0.1</v>
      </c>
    </row>
    <row r="1996" spans="2:5" ht="12.75" x14ac:dyDescent="0.2">
      <c r="B1996" s="179" t="s">
        <v>2309</v>
      </c>
      <c r="C1996" s="180" t="s">
        <v>2196</v>
      </c>
      <c r="D1996" s="179" t="s">
        <v>216</v>
      </c>
      <c r="E1996" s="181">
        <v>0.1</v>
      </c>
    </row>
    <row r="1997" spans="2:5" ht="12.75" x14ac:dyDescent="0.2">
      <c r="B1997" s="179" t="s">
        <v>2310</v>
      </c>
      <c r="C1997" s="180" t="s">
        <v>2196</v>
      </c>
      <c r="D1997" s="179" t="s">
        <v>216</v>
      </c>
      <c r="E1997" s="181">
        <v>0.1</v>
      </c>
    </row>
    <row r="1998" spans="2:5" ht="12.75" x14ac:dyDescent="0.2">
      <c r="B1998" s="179" t="s">
        <v>2311</v>
      </c>
      <c r="C1998" s="180" t="s">
        <v>2196</v>
      </c>
      <c r="D1998" s="179" t="s">
        <v>216</v>
      </c>
      <c r="E1998" s="181">
        <v>0.1</v>
      </c>
    </row>
    <row r="1999" spans="2:5" ht="12.75" x14ac:dyDescent="0.2">
      <c r="B1999" s="179" t="s">
        <v>2312</v>
      </c>
      <c r="C1999" s="180" t="s">
        <v>2196</v>
      </c>
      <c r="D1999" s="179" t="s">
        <v>216</v>
      </c>
      <c r="E1999" s="181">
        <v>0.1</v>
      </c>
    </row>
    <row r="2000" spans="2:5" ht="12.75" x14ac:dyDescent="0.2">
      <c r="B2000" s="179" t="s">
        <v>2313</v>
      </c>
      <c r="C2000" s="180" t="s">
        <v>2196</v>
      </c>
      <c r="D2000" s="179" t="s">
        <v>216</v>
      </c>
      <c r="E2000" s="181">
        <v>0.1</v>
      </c>
    </row>
    <row r="2001" spans="2:5" ht="12.75" x14ac:dyDescent="0.2">
      <c r="B2001" s="179" t="s">
        <v>2314</v>
      </c>
      <c r="C2001" s="180" t="s">
        <v>2196</v>
      </c>
      <c r="D2001" s="179" t="s">
        <v>216</v>
      </c>
      <c r="E2001" s="181">
        <v>0.1</v>
      </c>
    </row>
    <row r="2002" spans="2:5" ht="12.75" x14ac:dyDescent="0.2">
      <c r="B2002" s="179" t="s">
        <v>2315</v>
      </c>
      <c r="C2002" s="180" t="s">
        <v>2196</v>
      </c>
      <c r="D2002" s="179" t="s">
        <v>216</v>
      </c>
      <c r="E2002" s="181">
        <v>0.1</v>
      </c>
    </row>
    <row r="2003" spans="2:5" ht="12.75" x14ac:dyDescent="0.2">
      <c r="B2003" s="179" t="s">
        <v>2316</v>
      </c>
      <c r="C2003" s="180" t="s">
        <v>2317</v>
      </c>
      <c r="D2003" s="179" t="s">
        <v>214</v>
      </c>
      <c r="E2003" s="181">
        <v>0.5</v>
      </c>
    </row>
    <row r="2004" spans="2:5" ht="12.75" x14ac:dyDescent="0.2">
      <c r="B2004" s="179" t="s">
        <v>2318</v>
      </c>
      <c r="C2004" s="180" t="s">
        <v>2317</v>
      </c>
      <c r="D2004" s="179" t="s">
        <v>216</v>
      </c>
      <c r="E2004" s="181">
        <v>0.5</v>
      </c>
    </row>
    <row r="2005" spans="2:5" ht="12.75" x14ac:dyDescent="0.2">
      <c r="B2005" s="179" t="s">
        <v>2319</v>
      </c>
      <c r="C2005" s="180" t="s">
        <v>2320</v>
      </c>
      <c r="D2005" s="179" t="s">
        <v>214</v>
      </c>
      <c r="E2005" s="181">
        <v>0.5</v>
      </c>
    </row>
    <row r="2006" spans="2:5" ht="12.75" x14ac:dyDescent="0.2">
      <c r="B2006" s="179" t="s">
        <v>2321</v>
      </c>
      <c r="C2006" s="180" t="s">
        <v>2320</v>
      </c>
      <c r="D2006" s="179" t="s">
        <v>216</v>
      </c>
      <c r="E2006" s="181">
        <v>0.5</v>
      </c>
    </row>
    <row r="2007" spans="2:5" ht="12.75" x14ac:dyDescent="0.2">
      <c r="B2007" s="179" t="s">
        <v>2322</v>
      </c>
      <c r="C2007" s="180" t="s">
        <v>2320</v>
      </c>
      <c r="D2007" s="179" t="s">
        <v>216</v>
      </c>
      <c r="E2007" s="181">
        <v>0.5</v>
      </c>
    </row>
    <row r="2008" spans="2:5" ht="12.75" x14ac:dyDescent="0.2">
      <c r="B2008" s="179" t="s">
        <v>2323</v>
      </c>
      <c r="C2008" s="180" t="s">
        <v>2320</v>
      </c>
      <c r="D2008" s="179" t="s">
        <v>216</v>
      </c>
      <c r="E2008" s="181">
        <v>0.5</v>
      </c>
    </row>
    <row r="2009" spans="2:5" ht="12.75" x14ac:dyDescent="0.2">
      <c r="B2009" s="179" t="s">
        <v>2324</v>
      </c>
      <c r="C2009" s="180" t="s">
        <v>2325</v>
      </c>
      <c r="D2009" s="179" t="s">
        <v>214</v>
      </c>
      <c r="E2009" s="181">
        <v>0.5</v>
      </c>
    </row>
    <row r="2010" spans="2:5" ht="12.75" x14ac:dyDescent="0.2">
      <c r="B2010" s="179" t="s">
        <v>2326</v>
      </c>
      <c r="C2010" s="180" t="s">
        <v>2325</v>
      </c>
      <c r="D2010" s="179" t="s">
        <v>216</v>
      </c>
      <c r="E2010" s="181">
        <v>0.1</v>
      </c>
    </row>
    <row r="2011" spans="2:5" ht="12.75" x14ac:dyDescent="0.2">
      <c r="B2011" s="179" t="s">
        <v>2327</v>
      </c>
      <c r="C2011" s="180" t="s">
        <v>2325</v>
      </c>
      <c r="D2011" s="179" t="s">
        <v>216</v>
      </c>
      <c r="E2011" s="181">
        <v>0.1</v>
      </c>
    </row>
    <row r="2012" spans="2:5" ht="12.75" x14ac:dyDescent="0.2">
      <c r="B2012" s="179" t="s">
        <v>2328</v>
      </c>
      <c r="C2012" s="180" t="s">
        <v>2325</v>
      </c>
      <c r="D2012" s="179" t="s">
        <v>216</v>
      </c>
      <c r="E2012" s="181">
        <v>0.1</v>
      </c>
    </row>
    <row r="2013" spans="2:5" ht="12.75" x14ac:dyDescent="0.2">
      <c r="B2013" s="179" t="s">
        <v>2329</v>
      </c>
      <c r="C2013" s="180" t="s">
        <v>2325</v>
      </c>
      <c r="D2013" s="179" t="s">
        <v>216</v>
      </c>
      <c r="E2013" s="181">
        <v>0.1</v>
      </c>
    </row>
    <row r="2014" spans="2:5" ht="12.75" x14ac:dyDescent="0.2">
      <c r="B2014" s="179" t="s">
        <v>2330</v>
      </c>
      <c r="C2014" s="180" t="s">
        <v>2325</v>
      </c>
      <c r="D2014" s="179" t="s">
        <v>216</v>
      </c>
      <c r="E2014" s="181">
        <v>0.1</v>
      </c>
    </row>
    <row r="2015" spans="2:5" ht="12.75" x14ac:dyDescent="0.2">
      <c r="B2015" s="179" t="s">
        <v>2331</v>
      </c>
      <c r="C2015" s="180" t="s">
        <v>2325</v>
      </c>
      <c r="D2015" s="179" t="s">
        <v>216</v>
      </c>
      <c r="E2015" s="181">
        <v>0.1</v>
      </c>
    </row>
    <row r="2016" spans="2:5" ht="12.75" x14ac:dyDescent="0.2">
      <c r="B2016" s="179" t="s">
        <v>2332</v>
      </c>
      <c r="C2016" s="180" t="s">
        <v>2325</v>
      </c>
      <c r="D2016" s="179" t="s">
        <v>216</v>
      </c>
      <c r="E2016" s="181">
        <v>0.1</v>
      </c>
    </row>
    <row r="2017" spans="2:5" ht="12.75" x14ac:dyDescent="0.2">
      <c r="B2017" s="179" t="s">
        <v>2333</v>
      </c>
      <c r="C2017" s="180" t="s">
        <v>2325</v>
      </c>
      <c r="D2017" s="179" t="s">
        <v>216</v>
      </c>
      <c r="E2017" s="181">
        <v>0.1</v>
      </c>
    </row>
    <row r="2018" spans="2:5" ht="12.75" x14ac:dyDescent="0.2">
      <c r="B2018" s="179" t="s">
        <v>2334</v>
      </c>
      <c r="C2018" s="180" t="s">
        <v>2325</v>
      </c>
      <c r="D2018" s="179" t="s">
        <v>216</v>
      </c>
      <c r="E2018" s="181">
        <v>0.1</v>
      </c>
    </row>
    <row r="2019" spans="2:5" ht="12.75" x14ac:dyDescent="0.2">
      <c r="B2019" s="179" t="s">
        <v>2335</v>
      </c>
      <c r="C2019" s="180" t="s">
        <v>2325</v>
      </c>
      <c r="D2019" s="179" t="s">
        <v>216</v>
      </c>
      <c r="E2019" s="181">
        <v>0.1</v>
      </c>
    </row>
    <row r="2020" spans="2:5" ht="12.75" x14ac:dyDescent="0.2">
      <c r="B2020" s="179" t="s">
        <v>2336</v>
      </c>
      <c r="C2020" s="180" t="s">
        <v>2325</v>
      </c>
      <c r="D2020" s="179" t="s">
        <v>216</v>
      </c>
      <c r="E2020" s="181">
        <v>0.1</v>
      </c>
    </row>
    <row r="2021" spans="2:5" ht="12.75" x14ac:dyDescent="0.2">
      <c r="B2021" s="179" t="s">
        <v>2337</v>
      </c>
      <c r="C2021" s="180" t="s">
        <v>2325</v>
      </c>
      <c r="D2021" s="179" t="s">
        <v>216</v>
      </c>
      <c r="E2021" s="181">
        <v>0.1</v>
      </c>
    </row>
    <row r="2022" spans="2:5" ht="12.75" x14ac:dyDescent="0.2">
      <c r="B2022" s="179" t="s">
        <v>2338</v>
      </c>
      <c r="C2022" s="180" t="s">
        <v>2325</v>
      </c>
      <c r="D2022" s="179" t="s">
        <v>216</v>
      </c>
      <c r="E2022" s="181">
        <v>0.1</v>
      </c>
    </row>
    <row r="2023" spans="2:5" ht="12.75" x14ac:dyDescent="0.2">
      <c r="B2023" s="179" t="s">
        <v>2339</v>
      </c>
      <c r="C2023" s="180" t="s">
        <v>2325</v>
      </c>
      <c r="D2023" s="179" t="s">
        <v>216</v>
      </c>
      <c r="E2023" s="181">
        <v>0.1</v>
      </c>
    </row>
    <row r="2024" spans="2:5" ht="12.75" x14ac:dyDescent="0.2">
      <c r="B2024" s="179" t="s">
        <v>2340</v>
      </c>
      <c r="C2024" s="180" t="s">
        <v>2325</v>
      </c>
      <c r="D2024" s="179" t="s">
        <v>216</v>
      </c>
      <c r="E2024" s="181">
        <v>0.1</v>
      </c>
    </row>
    <row r="2025" spans="2:5" ht="12.75" x14ac:dyDescent="0.2">
      <c r="B2025" s="179" t="s">
        <v>2341</v>
      </c>
      <c r="C2025" s="180" t="s">
        <v>2342</v>
      </c>
      <c r="D2025" s="179" t="s">
        <v>214</v>
      </c>
      <c r="E2025" s="181">
        <v>0.5</v>
      </c>
    </row>
    <row r="2026" spans="2:5" ht="12.75" x14ac:dyDescent="0.2">
      <c r="B2026" s="179" t="s">
        <v>2343</v>
      </c>
      <c r="C2026" s="180" t="s">
        <v>2342</v>
      </c>
      <c r="D2026" s="179" t="s">
        <v>216</v>
      </c>
      <c r="E2026" s="181">
        <v>0.5</v>
      </c>
    </row>
    <row r="2027" spans="2:5" ht="12.75" x14ac:dyDescent="0.2">
      <c r="B2027" s="179" t="s">
        <v>2344</v>
      </c>
      <c r="C2027" s="180" t="s">
        <v>2342</v>
      </c>
      <c r="D2027" s="179" t="s">
        <v>216</v>
      </c>
      <c r="E2027" s="181">
        <v>0.5</v>
      </c>
    </row>
    <row r="2028" spans="2:5" ht="12.75" x14ac:dyDescent="0.2">
      <c r="B2028" s="179" t="s">
        <v>2345</v>
      </c>
      <c r="C2028" s="180" t="s">
        <v>2342</v>
      </c>
      <c r="D2028" s="179" t="s">
        <v>216</v>
      </c>
      <c r="E2028" s="181">
        <v>0.5</v>
      </c>
    </row>
    <row r="2029" spans="2:5" ht="12.75" x14ac:dyDescent="0.2">
      <c r="B2029" s="179" t="s">
        <v>2346</v>
      </c>
      <c r="C2029" s="180" t="s">
        <v>2342</v>
      </c>
      <c r="D2029" s="179" t="s">
        <v>216</v>
      </c>
      <c r="E2029" s="181">
        <v>0.5</v>
      </c>
    </row>
    <row r="2030" spans="2:5" ht="12.75" x14ac:dyDescent="0.2">
      <c r="B2030" s="179" t="s">
        <v>2347</v>
      </c>
      <c r="C2030" s="180" t="s">
        <v>2348</v>
      </c>
      <c r="D2030" s="179" t="s">
        <v>214</v>
      </c>
      <c r="E2030" s="181">
        <v>0.5</v>
      </c>
    </row>
    <row r="2031" spans="2:5" ht="12.75" x14ac:dyDescent="0.2">
      <c r="B2031" s="179" t="s">
        <v>2349</v>
      </c>
      <c r="C2031" s="180" t="s">
        <v>2348</v>
      </c>
      <c r="D2031" s="179" t="s">
        <v>216</v>
      </c>
      <c r="E2031" s="181">
        <v>0.5</v>
      </c>
    </row>
    <row r="2032" spans="2:5" ht="12.75" x14ac:dyDescent="0.2">
      <c r="B2032" s="179" t="s">
        <v>2350</v>
      </c>
      <c r="C2032" s="180" t="s">
        <v>2351</v>
      </c>
      <c r="D2032" s="179" t="s">
        <v>214</v>
      </c>
      <c r="E2032" s="181">
        <v>0.5</v>
      </c>
    </row>
    <row r="2033" spans="2:5" ht="12.75" x14ac:dyDescent="0.2">
      <c r="B2033" s="179" t="s">
        <v>2352</v>
      </c>
      <c r="C2033" s="180" t="s">
        <v>2351</v>
      </c>
      <c r="D2033" s="179" t="s">
        <v>216</v>
      </c>
      <c r="E2033" s="181">
        <v>0.5</v>
      </c>
    </row>
    <row r="2034" spans="2:5" ht="12.75" x14ac:dyDescent="0.2">
      <c r="B2034" s="179" t="s">
        <v>2353</v>
      </c>
      <c r="C2034" s="180" t="s">
        <v>2351</v>
      </c>
      <c r="D2034" s="179" t="s">
        <v>216</v>
      </c>
      <c r="E2034" s="181">
        <v>0.5</v>
      </c>
    </row>
    <row r="2035" spans="2:5" ht="12.75" x14ac:dyDescent="0.2">
      <c r="B2035" s="179" t="s">
        <v>2354</v>
      </c>
      <c r="C2035" s="180" t="s">
        <v>2351</v>
      </c>
      <c r="D2035" s="179" t="s">
        <v>216</v>
      </c>
      <c r="E2035" s="181">
        <v>0.5</v>
      </c>
    </row>
    <row r="2036" spans="2:5" ht="12.75" x14ac:dyDescent="0.2">
      <c r="B2036" s="179" t="s">
        <v>2355</v>
      </c>
      <c r="C2036" s="180" t="s">
        <v>2351</v>
      </c>
      <c r="D2036" s="179" t="s">
        <v>216</v>
      </c>
      <c r="E2036" s="181">
        <v>0.5</v>
      </c>
    </row>
    <row r="2037" spans="2:5" ht="12.75" x14ac:dyDescent="0.2">
      <c r="B2037" s="179" t="s">
        <v>2356</v>
      </c>
      <c r="C2037" s="180" t="s">
        <v>2351</v>
      </c>
      <c r="D2037" s="179" t="s">
        <v>216</v>
      </c>
      <c r="E2037" s="181">
        <v>0.5</v>
      </c>
    </row>
    <row r="2038" spans="2:5" ht="12.75" x14ac:dyDescent="0.2">
      <c r="B2038" s="179" t="s">
        <v>2357</v>
      </c>
      <c r="C2038" s="180" t="s">
        <v>2351</v>
      </c>
      <c r="D2038" s="179" t="s">
        <v>216</v>
      </c>
      <c r="E2038" s="181">
        <v>0.5</v>
      </c>
    </row>
    <row r="2039" spans="2:5" ht="12.75" x14ac:dyDescent="0.2">
      <c r="B2039" s="179" t="s">
        <v>2358</v>
      </c>
      <c r="C2039" s="180" t="s">
        <v>2351</v>
      </c>
      <c r="D2039" s="179" t="s">
        <v>216</v>
      </c>
      <c r="E2039" s="181">
        <v>0.5</v>
      </c>
    </row>
    <row r="2040" spans="2:5" ht="12.75" x14ac:dyDescent="0.2">
      <c r="B2040" s="179" t="s">
        <v>2359</v>
      </c>
      <c r="C2040" s="180" t="s">
        <v>2351</v>
      </c>
      <c r="D2040" s="179" t="s">
        <v>216</v>
      </c>
      <c r="E2040" s="181">
        <v>0.5</v>
      </c>
    </row>
    <row r="2041" spans="2:5" ht="12.75" x14ac:dyDescent="0.2">
      <c r="B2041" s="179" t="s">
        <v>2360</v>
      </c>
      <c r="C2041" s="180" t="s">
        <v>2351</v>
      </c>
      <c r="D2041" s="179" t="s">
        <v>216</v>
      </c>
      <c r="E2041" s="181">
        <v>0.5</v>
      </c>
    </row>
    <row r="2042" spans="2:5" ht="12.75" x14ac:dyDescent="0.2">
      <c r="B2042" s="179" t="s">
        <v>2361</v>
      </c>
      <c r="C2042" s="180" t="s">
        <v>2351</v>
      </c>
      <c r="D2042" s="179" t="s">
        <v>216</v>
      </c>
      <c r="E2042" s="181">
        <v>0.5</v>
      </c>
    </row>
    <row r="2043" spans="2:5" ht="12.75" x14ac:dyDescent="0.2">
      <c r="B2043" s="179" t="s">
        <v>2362</v>
      </c>
      <c r="C2043" s="180" t="s">
        <v>2351</v>
      </c>
      <c r="D2043" s="179" t="s">
        <v>216</v>
      </c>
      <c r="E2043" s="181">
        <v>0.5</v>
      </c>
    </row>
    <row r="2044" spans="2:5" ht="12.75" x14ac:dyDescent="0.2">
      <c r="B2044" s="179" t="s">
        <v>2363</v>
      </c>
      <c r="C2044" s="180" t="s">
        <v>2364</v>
      </c>
      <c r="D2044" s="179" t="s">
        <v>214</v>
      </c>
      <c r="E2044" s="181">
        <v>5</v>
      </c>
    </row>
    <row r="2045" spans="2:5" ht="12.75" x14ac:dyDescent="0.2">
      <c r="B2045" s="179" t="s">
        <v>2365</v>
      </c>
      <c r="C2045" s="180" t="s">
        <v>2366</v>
      </c>
      <c r="D2045" s="179" t="s">
        <v>214</v>
      </c>
      <c r="E2045" s="181">
        <v>4</v>
      </c>
    </row>
    <row r="2046" spans="2:5" ht="12.75" x14ac:dyDescent="0.2">
      <c r="B2046" s="179" t="s">
        <v>2367</v>
      </c>
      <c r="C2046" s="180" t="s">
        <v>2368</v>
      </c>
      <c r="D2046" s="179" t="s">
        <v>214</v>
      </c>
      <c r="E2046" s="181">
        <v>2</v>
      </c>
    </row>
    <row r="2047" spans="2:5" ht="12.75" x14ac:dyDescent="0.2">
      <c r="B2047" s="179" t="s">
        <v>2369</v>
      </c>
      <c r="C2047" s="180" t="s">
        <v>2370</v>
      </c>
      <c r="D2047" s="179" t="s">
        <v>214</v>
      </c>
      <c r="E2047" s="181">
        <v>2</v>
      </c>
    </row>
    <row r="2048" spans="2:5" ht="12.75" x14ac:dyDescent="0.2">
      <c r="B2048" s="179" t="s">
        <v>2371</v>
      </c>
      <c r="C2048" s="180" t="s">
        <v>2372</v>
      </c>
      <c r="D2048" s="179" t="s">
        <v>214</v>
      </c>
      <c r="E2048" s="181">
        <v>5</v>
      </c>
    </row>
    <row r="2049" spans="2:5" ht="12.75" x14ac:dyDescent="0.2">
      <c r="B2049" s="179" t="s">
        <v>2373</v>
      </c>
      <c r="C2049" s="180" t="s">
        <v>2374</v>
      </c>
      <c r="D2049" s="179" t="s">
        <v>214</v>
      </c>
      <c r="E2049" s="181">
        <v>10</v>
      </c>
    </row>
    <row r="2050" spans="2:5" ht="12.75" x14ac:dyDescent="0.2">
      <c r="B2050" s="179" t="s">
        <v>2375</v>
      </c>
      <c r="C2050" s="180" t="s">
        <v>2376</v>
      </c>
      <c r="D2050" s="179" t="s">
        <v>216</v>
      </c>
      <c r="E2050" s="181">
        <v>5</v>
      </c>
    </row>
    <row r="2051" spans="2:5" ht="12.75" x14ac:dyDescent="0.2">
      <c r="B2051" s="179" t="s">
        <v>2377</v>
      </c>
      <c r="C2051" s="180" t="s">
        <v>2376</v>
      </c>
      <c r="D2051" s="179" t="s">
        <v>216</v>
      </c>
      <c r="E2051" s="181">
        <v>5</v>
      </c>
    </row>
    <row r="2052" spans="2:5" ht="12.75" x14ac:dyDescent="0.2">
      <c r="B2052" s="179" t="s">
        <v>2365</v>
      </c>
      <c r="C2052" s="180" t="s">
        <v>2378</v>
      </c>
      <c r="D2052" s="179" t="s">
        <v>216</v>
      </c>
      <c r="E2052" s="181">
        <v>2</v>
      </c>
    </row>
    <row r="2053" spans="2:5" ht="12.75" x14ac:dyDescent="0.2">
      <c r="B2053" s="179" t="s">
        <v>2379</v>
      </c>
      <c r="C2053" s="180" t="s">
        <v>2380</v>
      </c>
      <c r="D2053" s="179" t="s">
        <v>216</v>
      </c>
      <c r="E2053" s="181">
        <v>10</v>
      </c>
    </row>
    <row r="2054" spans="2:5" ht="12.75" x14ac:dyDescent="0.2">
      <c r="B2054" s="179" t="s">
        <v>2367</v>
      </c>
      <c r="C2054" s="180" t="s">
        <v>2381</v>
      </c>
      <c r="D2054" s="179" t="s">
        <v>216</v>
      </c>
      <c r="E2054" s="181">
        <v>2</v>
      </c>
    </row>
    <row r="2055" spans="2:5" ht="12.75" x14ac:dyDescent="0.2">
      <c r="B2055" s="179" t="s">
        <v>2363</v>
      </c>
      <c r="C2055" s="180" t="s">
        <v>2382</v>
      </c>
      <c r="D2055" s="179" t="s">
        <v>216</v>
      </c>
      <c r="E2055" s="181">
        <v>2</v>
      </c>
    </row>
    <row r="2056" spans="2:5" ht="12.75" x14ac:dyDescent="0.2">
      <c r="B2056" s="179" t="s">
        <v>2383</v>
      </c>
      <c r="C2056" s="180" t="s">
        <v>2384</v>
      </c>
      <c r="D2056" s="179" t="s">
        <v>216</v>
      </c>
      <c r="E2056" s="181">
        <v>5</v>
      </c>
    </row>
    <row r="2057" spans="2:5" ht="12.75" x14ac:dyDescent="0.2">
      <c r="B2057" s="179" t="s">
        <v>2385</v>
      </c>
      <c r="C2057" s="180" t="s">
        <v>2386</v>
      </c>
      <c r="D2057" s="179" t="s">
        <v>216</v>
      </c>
      <c r="E2057" s="181">
        <v>5</v>
      </c>
    </row>
    <row r="2058" spans="2:5" ht="12.75" x14ac:dyDescent="0.2">
      <c r="B2058" s="179" t="s">
        <v>2387</v>
      </c>
      <c r="C2058" s="180" t="s">
        <v>2386</v>
      </c>
      <c r="D2058" s="179" t="s">
        <v>216</v>
      </c>
      <c r="E2058" s="181">
        <v>5</v>
      </c>
    </row>
    <row r="2059" spans="2:5" ht="12.75" x14ac:dyDescent="0.2">
      <c r="B2059" s="179" t="s">
        <v>2371</v>
      </c>
      <c r="C2059" s="180" t="s">
        <v>2388</v>
      </c>
      <c r="D2059" s="179" t="s">
        <v>216</v>
      </c>
      <c r="E2059" s="181">
        <v>2</v>
      </c>
    </row>
    <row r="2060" spans="2:5" ht="12.75" x14ac:dyDescent="0.2">
      <c r="B2060" s="179" t="s">
        <v>2389</v>
      </c>
      <c r="C2060" s="180" t="s">
        <v>2390</v>
      </c>
      <c r="D2060" s="179" t="s">
        <v>216</v>
      </c>
      <c r="E2060" s="181">
        <v>10</v>
      </c>
    </row>
    <row r="2061" spans="2:5" ht="12.75" x14ac:dyDescent="0.2">
      <c r="B2061" s="179" t="s">
        <v>2373</v>
      </c>
      <c r="C2061" s="180" t="s">
        <v>2391</v>
      </c>
      <c r="D2061" s="179" t="s">
        <v>216</v>
      </c>
      <c r="E2061" s="181">
        <v>2</v>
      </c>
    </row>
    <row r="2062" spans="2:5" ht="12.75" x14ac:dyDescent="0.2">
      <c r="B2062" s="179" t="s">
        <v>2392</v>
      </c>
      <c r="C2062" s="180" t="s">
        <v>2393</v>
      </c>
      <c r="D2062" s="179" t="s">
        <v>216</v>
      </c>
      <c r="E2062" s="181">
        <v>2</v>
      </c>
    </row>
    <row r="2063" spans="2:5" ht="12.75" x14ac:dyDescent="0.2">
      <c r="B2063" s="179" t="s">
        <v>2369</v>
      </c>
      <c r="C2063" s="180" t="s">
        <v>2393</v>
      </c>
      <c r="D2063" s="179" t="s">
        <v>216</v>
      </c>
      <c r="E2063" s="181">
        <v>2</v>
      </c>
    </row>
    <row r="2064" spans="2:5" ht="12.75" x14ac:dyDescent="0.2">
      <c r="B2064" s="179" t="s">
        <v>2394</v>
      </c>
      <c r="C2064" s="180" t="s">
        <v>2395</v>
      </c>
      <c r="D2064" s="179" t="s">
        <v>216</v>
      </c>
      <c r="E2064" s="181">
        <v>5</v>
      </c>
    </row>
    <row r="2065" spans="2:5" ht="12.75" x14ac:dyDescent="0.2">
      <c r="B2065" s="179" t="s">
        <v>2396</v>
      </c>
      <c r="C2065" s="180" t="s">
        <v>2397</v>
      </c>
      <c r="D2065" s="179" t="s">
        <v>214</v>
      </c>
      <c r="E2065" s="181">
        <v>4</v>
      </c>
    </row>
    <row r="2066" spans="2:5" ht="12.75" x14ac:dyDescent="0.2">
      <c r="B2066" s="179" t="s">
        <v>2398</v>
      </c>
      <c r="C2066" s="180" t="s">
        <v>2399</v>
      </c>
      <c r="D2066" s="179" t="s">
        <v>214</v>
      </c>
      <c r="E2066" s="181">
        <v>10</v>
      </c>
    </row>
    <row r="2067" spans="2:5" ht="12.75" x14ac:dyDescent="0.2">
      <c r="B2067" s="179" t="s">
        <v>2400</v>
      </c>
      <c r="C2067" s="180" t="s">
        <v>2401</v>
      </c>
      <c r="D2067" s="179" t="s">
        <v>214</v>
      </c>
      <c r="E2067" s="181">
        <v>10</v>
      </c>
    </row>
    <row r="2068" spans="2:5" ht="12.75" x14ac:dyDescent="0.2">
      <c r="B2068" s="179" t="s">
        <v>2402</v>
      </c>
      <c r="C2068" s="180" t="s">
        <v>2403</v>
      </c>
      <c r="D2068" s="179" t="s">
        <v>216</v>
      </c>
      <c r="E2068" s="181">
        <v>5</v>
      </c>
    </row>
    <row r="2069" spans="2:5" ht="12.75" x14ac:dyDescent="0.2">
      <c r="B2069" s="179" t="s">
        <v>2404</v>
      </c>
      <c r="C2069" s="180" t="s">
        <v>2403</v>
      </c>
      <c r="D2069" s="179" t="s">
        <v>216</v>
      </c>
      <c r="E2069" s="181">
        <v>5</v>
      </c>
    </row>
    <row r="2070" spans="2:5" ht="12.75" x14ac:dyDescent="0.2">
      <c r="B2070" s="179" t="s">
        <v>2398</v>
      </c>
      <c r="C2070" s="180" t="s">
        <v>2405</v>
      </c>
      <c r="D2070" s="179" t="s">
        <v>216</v>
      </c>
      <c r="E2070" s="181">
        <v>2</v>
      </c>
    </row>
    <row r="2071" spans="2:5" ht="12.75" x14ac:dyDescent="0.2">
      <c r="B2071" s="179" t="s">
        <v>2406</v>
      </c>
      <c r="C2071" s="180" t="s">
        <v>2407</v>
      </c>
      <c r="D2071" s="179" t="s">
        <v>216</v>
      </c>
      <c r="E2071" s="181">
        <v>10</v>
      </c>
    </row>
    <row r="2072" spans="2:5" ht="12.75" x14ac:dyDescent="0.2">
      <c r="B2072" s="179" t="s">
        <v>2400</v>
      </c>
      <c r="C2072" s="180" t="s">
        <v>2408</v>
      </c>
      <c r="D2072" s="179" t="s">
        <v>216</v>
      </c>
      <c r="E2072" s="181">
        <v>2</v>
      </c>
    </row>
    <row r="2073" spans="2:5" ht="12.75" x14ac:dyDescent="0.2">
      <c r="B2073" s="179" t="s">
        <v>2396</v>
      </c>
      <c r="C2073" s="180" t="s">
        <v>2409</v>
      </c>
      <c r="D2073" s="179" t="s">
        <v>216</v>
      </c>
      <c r="E2073" s="181">
        <v>2</v>
      </c>
    </row>
    <row r="2074" spans="2:5" ht="12.75" x14ac:dyDescent="0.2">
      <c r="B2074" s="179" t="s">
        <v>2410</v>
      </c>
      <c r="C2074" s="180" t="s">
        <v>2411</v>
      </c>
      <c r="D2074" s="179" t="s">
        <v>216</v>
      </c>
      <c r="E2074" s="181">
        <v>5</v>
      </c>
    </row>
    <row r="2075" spans="2:5" ht="12.75" x14ac:dyDescent="0.2">
      <c r="B2075" s="179" t="s">
        <v>2412</v>
      </c>
      <c r="C2075" s="180" t="s">
        <v>2413</v>
      </c>
      <c r="D2075" s="179" t="s">
        <v>214</v>
      </c>
      <c r="E2075" s="181">
        <v>4</v>
      </c>
    </row>
    <row r="2076" spans="2:5" ht="12.75" x14ac:dyDescent="0.2">
      <c r="B2076" s="179" t="s">
        <v>2414</v>
      </c>
      <c r="C2076" s="180" t="s">
        <v>2415</v>
      </c>
      <c r="D2076" s="179" t="s">
        <v>214</v>
      </c>
      <c r="E2076" s="181">
        <v>10</v>
      </c>
    </row>
    <row r="2077" spans="2:5" ht="12.75" x14ac:dyDescent="0.2">
      <c r="B2077" s="179" t="s">
        <v>2416</v>
      </c>
      <c r="C2077" s="180" t="s">
        <v>2417</v>
      </c>
      <c r="D2077" s="179" t="s">
        <v>214</v>
      </c>
      <c r="E2077" s="181">
        <v>10</v>
      </c>
    </row>
    <row r="2078" spans="2:5" ht="12.75" x14ac:dyDescent="0.2">
      <c r="B2078" s="179" t="s">
        <v>2418</v>
      </c>
      <c r="C2078" s="180" t="s">
        <v>2419</v>
      </c>
      <c r="D2078" s="179" t="s">
        <v>216</v>
      </c>
      <c r="E2078" s="181">
        <v>5</v>
      </c>
    </row>
    <row r="2079" spans="2:5" ht="12.75" x14ac:dyDescent="0.2">
      <c r="B2079" s="179" t="s">
        <v>2420</v>
      </c>
      <c r="C2079" s="180" t="s">
        <v>2419</v>
      </c>
      <c r="D2079" s="179" t="s">
        <v>216</v>
      </c>
      <c r="E2079" s="181">
        <v>5</v>
      </c>
    </row>
    <row r="2080" spans="2:5" ht="12.75" x14ac:dyDescent="0.2">
      <c r="B2080" s="179" t="s">
        <v>2414</v>
      </c>
      <c r="C2080" s="180" t="s">
        <v>2421</v>
      </c>
      <c r="D2080" s="179" t="s">
        <v>216</v>
      </c>
      <c r="E2080" s="181">
        <v>5</v>
      </c>
    </row>
    <row r="2081" spans="2:5" ht="12.75" x14ac:dyDescent="0.2">
      <c r="B2081" s="179" t="s">
        <v>2422</v>
      </c>
      <c r="C2081" s="180" t="s">
        <v>2423</v>
      </c>
      <c r="D2081" s="179" t="s">
        <v>216</v>
      </c>
      <c r="E2081" s="181">
        <v>10</v>
      </c>
    </row>
    <row r="2082" spans="2:5" ht="12.75" x14ac:dyDescent="0.2">
      <c r="B2082" s="179" t="s">
        <v>2416</v>
      </c>
      <c r="C2082" s="180" t="s">
        <v>2424</v>
      </c>
      <c r="D2082" s="179" t="s">
        <v>216</v>
      </c>
      <c r="E2082" s="181">
        <v>2</v>
      </c>
    </row>
    <row r="2083" spans="2:5" ht="12.75" x14ac:dyDescent="0.2">
      <c r="B2083" s="179" t="s">
        <v>2412</v>
      </c>
      <c r="C2083" s="180" t="s">
        <v>2425</v>
      </c>
      <c r="D2083" s="179" t="s">
        <v>216</v>
      </c>
      <c r="E2083" s="181">
        <v>2</v>
      </c>
    </row>
    <row r="2084" spans="2:5" ht="12.75" x14ac:dyDescent="0.2">
      <c r="B2084" s="179" t="s">
        <v>2426</v>
      </c>
      <c r="C2084" s="180" t="s">
        <v>2427</v>
      </c>
      <c r="D2084" s="179" t="s">
        <v>216</v>
      </c>
      <c r="E2084" s="181">
        <v>5</v>
      </c>
    </row>
    <row r="2085" spans="2:5" ht="12.75" x14ac:dyDescent="0.2">
      <c r="B2085" s="179" t="s">
        <v>2428</v>
      </c>
      <c r="C2085" s="180" t="s">
        <v>2429</v>
      </c>
      <c r="D2085" s="179" t="s">
        <v>214</v>
      </c>
      <c r="E2085" s="181">
        <v>4</v>
      </c>
    </row>
    <row r="2086" spans="2:5" ht="12.75" x14ac:dyDescent="0.2">
      <c r="B2086" s="179" t="s">
        <v>2430</v>
      </c>
      <c r="C2086" s="180" t="s">
        <v>2431</v>
      </c>
      <c r="D2086" s="179" t="s">
        <v>214</v>
      </c>
      <c r="E2086" s="181">
        <v>10</v>
      </c>
    </row>
    <row r="2087" spans="2:5" ht="12.75" x14ac:dyDescent="0.2">
      <c r="B2087" s="179" t="s">
        <v>2432</v>
      </c>
      <c r="C2087" s="180" t="s">
        <v>2433</v>
      </c>
      <c r="D2087" s="179" t="s">
        <v>214</v>
      </c>
      <c r="E2087" s="181">
        <v>10</v>
      </c>
    </row>
    <row r="2088" spans="2:5" ht="12.75" x14ac:dyDescent="0.2">
      <c r="B2088" s="179" t="s">
        <v>2383</v>
      </c>
      <c r="C2088" s="180" t="s">
        <v>2434</v>
      </c>
      <c r="D2088" s="179" t="s">
        <v>214</v>
      </c>
      <c r="E2088" s="181">
        <v>10</v>
      </c>
    </row>
    <row r="2089" spans="2:5" ht="12.75" x14ac:dyDescent="0.2">
      <c r="B2089" s="179" t="s">
        <v>2394</v>
      </c>
      <c r="C2089" s="180" t="s">
        <v>2435</v>
      </c>
      <c r="D2089" s="179" t="s">
        <v>214</v>
      </c>
      <c r="E2089" s="181">
        <v>10</v>
      </c>
    </row>
    <row r="2090" spans="2:5" ht="12.75" x14ac:dyDescent="0.2">
      <c r="B2090" s="179" t="s">
        <v>2410</v>
      </c>
      <c r="C2090" s="180" t="s">
        <v>2436</v>
      </c>
      <c r="D2090" s="179" t="s">
        <v>214</v>
      </c>
      <c r="E2090" s="181">
        <v>10</v>
      </c>
    </row>
    <row r="2091" spans="2:5" ht="12.75" x14ac:dyDescent="0.2">
      <c r="B2091" s="179" t="s">
        <v>2426</v>
      </c>
      <c r="C2091" s="180" t="s">
        <v>2437</v>
      </c>
      <c r="D2091" s="179" t="s">
        <v>214</v>
      </c>
      <c r="E2091" s="181">
        <v>10</v>
      </c>
    </row>
    <row r="2092" spans="2:5" ht="12.75" x14ac:dyDescent="0.2">
      <c r="B2092" s="179" t="s">
        <v>2438</v>
      </c>
      <c r="C2092" s="180" t="s">
        <v>2439</v>
      </c>
      <c r="D2092" s="179" t="s">
        <v>214</v>
      </c>
      <c r="E2092" s="181">
        <v>4</v>
      </c>
    </row>
    <row r="2093" spans="2:5" ht="12.75" x14ac:dyDescent="0.2">
      <c r="B2093" s="179" t="s">
        <v>2438</v>
      </c>
      <c r="C2093" s="180" t="s">
        <v>2440</v>
      </c>
      <c r="D2093" s="179" t="s">
        <v>216</v>
      </c>
      <c r="E2093" s="181">
        <v>4</v>
      </c>
    </row>
    <row r="2094" spans="2:5" ht="12.75" x14ac:dyDescent="0.2">
      <c r="B2094" s="179" t="s">
        <v>2385</v>
      </c>
      <c r="C2094" s="180" t="s">
        <v>2441</v>
      </c>
      <c r="D2094" s="179" t="s">
        <v>214</v>
      </c>
      <c r="E2094" s="181">
        <v>10</v>
      </c>
    </row>
    <row r="2095" spans="2:5" ht="12.75" x14ac:dyDescent="0.2">
      <c r="B2095" s="179" t="s">
        <v>2387</v>
      </c>
      <c r="C2095" s="180" t="s">
        <v>2441</v>
      </c>
      <c r="D2095" s="179" t="s">
        <v>214</v>
      </c>
      <c r="E2095" s="181">
        <v>10</v>
      </c>
    </row>
    <row r="2096" spans="2:5" ht="12.75" x14ac:dyDescent="0.2">
      <c r="B2096" s="179" t="s">
        <v>2442</v>
      </c>
      <c r="C2096" s="180" t="s">
        <v>2441</v>
      </c>
      <c r="D2096" s="179" t="s">
        <v>214</v>
      </c>
      <c r="E2096" s="181">
        <v>10</v>
      </c>
    </row>
    <row r="2097" spans="2:5" ht="12.75" x14ac:dyDescent="0.2">
      <c r="B2097" s="179" t="s">
        <v>2402</v>
      </c>
      <c r="C2097" s="180" t="s">
        <v>2443</v>
      </c>
      <c r="D2097" s="179" t="s">
        <v>214</v>
      </c>
      <c r="E2097" s="181">
        <v>10</v>
      </c>
    </row>
    <row r="2098" spans="2:5" ht="12.75" x14ac:dyDescent="0.2">
      <c r="B2098" s="179" t="s">
        <v>2404</v>
      </c>
      <c r="C2098" s="180" t="s">
        <v>2443</v>
      </c>
      <c r="D2098" s="179" t="s">
        <v>214</v>
      </c>
      <c r="E2098" s="181">
        <v>10</v>
      </c>
    </row>
    <row r="2099" spans="2:5" ht="12.75" x14ac:dyDescent="0.2">
      <c r="B2099" s="179" t="s">
        <v>2418</v>
      </c>
      <c r="C2099" s="180" t="s">
        <v>2444</v>
      </c>
      <c r="D2099" s="179" t="s">
        <v>214</v>
      </c>
      <c r="E2099" s="181">
        <v>10</v>
      </c>
    </row>
    <row r="2100" spans="2:5" ht="12.75" x14ac:dyDescent="0.2">
      <c r="B2100" s="179" t="s">
        <v>2420</v>
      </c>
      <c r="C2100" s="180" t="s">
        <v>2444</v>
      </c>
      <c r="D2100" s="179" t="s">
        <v>214</v>
      </c>
      <c r="E2100" s="181">
        <v>10</v>
      </c>
    </row>
    <row r="2101" spans="2:5" ht="12.75" x14ac:dyDescent="0.2">
      <c r="B2101" s="179" t="s">
        <v>2445</v>
      </c>
      <c r="C2101" s="180" t="s">
        <v>2446</v>
      </c>
      <c r="D2101" s="179" t="s">
        <v>214</v>
      </c>
      <c r="E2101" s="181">
        <v>0.5</v>
      </c>
    </row>
    <row r="2102" spans="2:5" ht="12.75" x14ac:dyDescent="0.2">
      <c r="B2102" s="179" t="s">
        <v>2447</v>
      </c>
      <c r="C2102" s="180" t="s">
        <v>2446</v>
      </c>
      <c r="D2102" s="179" t="s">
        <v>216</v>
      </c>
      <c r="E2102" s="181">
        <v>0.5</v>
      </c>
    </row>
    <row r="2103" spans="2:5" ht="12.75" x14ac:dyDescent="0.2">
      <c r="B2103" s="179" t="s">
        <v>2448</v>
      </c>
      <c r="C2103" s="180" t="s">
        <v>2446</v>
      </c>
      <c r="D2103" s="179" t="s">
        <v>216</v>
      </c>
      <c r="E2103" s="181">
        <v>0.5</v>
      </c>
    </row>
    <row r="2104" spans="2:5" ht="12.75" x14ac:dyDescent="0.2">
      <c r="B2104" s="179" t="s">
        <v>2449</v>
      </c>
      <c r="C2104" s="180" t="s">
        <v>2450</v>
      </c>
      <c r="D2104" s="179" t="s">
        <v>214</v>
      </c>
      <c r="E2104" s="181">
        <v>0.5</v>
      </c>
    </row>
    <row r="2105" spans="2:5" ht="12.75" x14ac:dyDescent="0.2">
      <c r="B2105" s="179" t="s">
        <v>2451</v>
      </c>
      <c r="C2105" s="180" t="s">
        <v>2450</v>
      </c>
      <c r="D2105" s="179" t="s">
        <v>216</v>
      </c>
      <c r="E2105" s="181">
        <v>0.5</v>
      </c>
    </row>
    <row r="2106" spans="2:5" ht="12.75" x14ac:dyDescent="0.2">
      <c r="B2106" s="179" t="s">
        <v>2452</v>
      </c>
      <c r="C2106" s="180" t="s">
        <v>2453</v>
      </c>
      <c r="D2106" s="179" t="s">
        <v>214</v>
      </c>
      <c r="E2106" s="181">
        <v>5</v>
      </c>
    </row>
    <row r="2107" spans="2:5" ht="12.75" x14ac:dyDescent="0.2">
      <c r="B2107" s="179" t="s">
        <v>2454</v>
      </c>
      <c r="C2107" s="180" t="s">
        <v>2455</v>
      </c>
      <c r="D2107" s="179" t="s">
        <v>216</v>
      </c>
      <c r="E2107" s="181">
        <v>5</v>
      </c>
    </row>
    <row r="2108" spans="2:5" ht="12.75" x14ac:dyDescent="0.2">
      <c r="B2108" s="179" t="s">
        <v>2456</v>
      </c>
      <c r="C2108" s="180" t="s">
        <v>2457</v>
      </c>
      <c r="D2108" s="179" t="s">
        <v>214</v>
      </c>
      <c r="E2108" s="181">
        <v>0.5</v>
      </c>
    </row>
    <row r="2109" spans="2:5" ht="12.75" x14ac:dyDescent="0.2">
      <c r="B2109" s="179" t="s">
        <v>2458</v>
      </c>
      <c r="C2109" s="180" t="s">
        <v>2459</v>
      </c>
      <c r="D2109" s="179" t="s">
        <v>216</v>
      </c>
      <c r="E2109" s="181">
        <v>0.5</v>
      </c>
    </row>
    <row r="2110" spans="2:5" ht="12.75" x14ac:dyDescent="0.2">
      <c r="B2110" s="179" t="s">
        <v>2460</v>
      </c>
      <c r="C2110" s="180" t="s">
        <v>2459</v>
      </c>
      <c r="D2110" s="179" t="s">
        <v>216</v>
      </c>
      <c r="E2110" s="181">
        <v>0.5</v>
      </c>
    </row>
    <row r="2111" spans="2:5" ht="12.75" x14ac:dyDescent="0.2">
      <c r="B2111" s="179" t="s">
        <v>2461</v>
      </c>
      <c r="C2111" s="180" t="s">
        <v>2459</v>
      </c>
      <c r="D2111" s="179" t="s">
        <v>216</v>
      </c>
      <c r="E2111" s="181">
        <v>0.5</v>
      </c>
    </row>
    <row r="2112" spans="2:5" ht="12.75" x14ac:dyDescent="0.2">
      <c r="B2112" s="179" t="s">
        <v>2462</v>
      </c>
      <c r="C2112" s="180" t="s">
        <v>2459</v>
      </c>
      <c r="D2112" s="179" t="s">
        <v>216</v>
      </c>
      <c r="E2112" s="181">
        <v>0.5</v>
      </c>
    </row>
    <row r="2113" spans="2:5" ht="12.75" x14ac:dyDescent="0.2">
      <c r="B2113" s="179" t="s">
        <v>2463</v>
      </c>
      <c r="C2113" s="180" t="s">
        <v>2459</v>
      </c>
      <c r="D2113" s="179" t="s">
        <v>216</v>
      </c>
      <c r="E2113" s="181">
        <v>0.5</v>
      </c>
    </row>
    <row r="2114" spans="2:5" ht="12.75" x14ac:dyDescent="0.2">
      <c r="B2114" s="179" t="s">
        <v>2464</v>
      </c>
      <c r="C2114" s="180" t="s">
        <v>2465</v>
      </c>
      <c r="D2114" s="179" t="s">
        <v>214</v>
      </c>
      <c r="E2114" s="181">
        <v>5</v>
      </c>
    </row>
    <row r="2115" spans="2:5" ht="12.75" x14ac:dyDescent="0.2">
      <c r="B2115" s="179" t="s">
        <v>2466</v>
      </c>
      <c r="C2115" s="180" t="s">
        <v>2465</v>
      </c>
      <c r="D2115" s="179" t="s">
        <v>214</v>
      </c>
      <c r="E2115" s="181">
        <v>5</v>
      </c>
    </row>
    <row r="2116" spans="2:5" ht="12.75" x14ac:dyDescent="0.2">
      <c r="B2116" s="179" t="s">
        <v>2467</v>
      </c>
      <c r="C2116" s="180" t="s">
        <v>2465</v>
      </c>
      <c r="D2116" s="179" t="s">
        <v>214</v>
      </c>
      <c r="E2116" s="181">
        <v>5</v>
      </c>
    </row>
    <row r="2117" spans="2:5" ht="12.75" x14ac:dyDescent="0.2">
      <c r="B2117" s="179" t="s">
        <v>2468</v>
      </c>
      <c r="C2117" s="180" t="s">
        <v>2465</v>
      </c>
      <c r="D2117" s="179" t="s">
        <v>214</v>
      </c>
      <c r="E2117" s="181">
        <v>5</v>
      </c>
    </row>
    <row r="2118" spans="2:5" ht="12.75" x14ac:dyDescent="0.2">
      <c r="B2118" s="179" t="s">
        <v>2469</v>
      </c>
      <c r="C2118" s="180" t="s">
        <v>2465</v>
      </c>
      <c r="D2118" s="179" t="s">
        <v>214</v>
      </c>
      <c r="E2118" s="181">
        <v>5</v>
      </c>
    </row>
    <row r="2119" spans="2:5" ht="12.75" x14ac:dyDescent="0.2">
      <c r="B2119" s="179" t="s">
        <v>2470</v>
      </c>
      <c r="C2119" s="180" t="s">
        <v>2465</v>
      </c>
      <c r="D2119" s="179" t="s">
        <v>214</v>
      </c>
      <c r="E2119" s="181">
        <v>5</v>
      </c>
    </row>
    <row r="2120" spans="2:5" ht="12.75" x14ac:dyDescent="0.2">
      <c r="B2120" s="179" t="s">
        <v>2471</v>
      </c>
      <c r="C2120" s="180" t="s">
        <v>2465</v>
      </c>
      <c r="D2120" s="179" t="s">
        <v>214</v>
      </c>
      <c r="E2120" s="181">
        <v>5</v>
      </c>
    </row>
    <row r="2121" spans="2:5" ht="12.75" x14ac:dyDescent="0.2">
      <c r="B2121" s="179" t="s">
        <v>2472</v>
      </c>
      <c r="C2121" s="180" t="s">
        <v>2465</v>
      </c>
      <c r="D2121" s="179" t="s">
        <v>214</v>
      </c>
      <c r="E2121" s="181">
        <v>5</v>
      </c>
    </row>
    <row r="2122" spans="2:5" ht="12.75" x14ac:dyDescent="0.2">
      <c r="B2122" s="179" t="s">
        <v>2473</v>
      </c>
      <c r="C2122" s="180" t="s">
        <v>2465</v>
      </c>
      <c r="D2122" s="179" t="s">
        <v>214</v>
      </c>
      <c r="E2122" s="181">
        <v>5</v>
      </c>
    </row>
    <row r="2123" spans="2:5" ht="12.75" x14ac:dyDescent="0.2">
      <c r="B2123" s="179" t="s">
        <v>2474</v>
      </c>
      <c r="C2123" s="180" t="s">
        <v>2465</v>
      </c>
      <c r="D2123" s="179" t="s">
        <v>214</v>
      </c>
      <c r="E2123" s="181">
        <v>5</v>
      </c>
    </row>
    <row r="2124" spans="2:5" ht="12.75" x14ac:dyDescent="0.2">
      <c r="B2124" s="179" t="s">
        <v>2475</v>
      </c>
      <c r="C2124" s="180" t="s">
        <v>2476</v>
      </c>
      <c r="D2124" s="179" t="s">
        <v>214</v>
      </c>
      <c r="E2124" s="181">
        <v>0.1</v>
      </c>
    </row>
    <row r="2125" spans="2:5" ht="12.75" x14ac:dyDescent="0.2">
      <c r="B2125" s="179" t="s">
        <v>2477</v>
      </c>
      <c r="C2125" s="180" t="s">
        <v>2476</v>
      </c>
      <c r="D2125" s="179" t="s">
        <v>216</v>
      </c>
      <c r="E2125" s="181">
        <v>0.1</v>
      </c>
    </row>
    <row r="2126" spans="2:5" ht="12.75" x14ac:dyDescent="0.2">
      <c r="B2126" s="179" t="s">
        <v>2478</v>
      </c>
      <c r="C2126" s="180" t="s">
        <v>2476</v>
      </c>
      <c r="D2126" s="179" t="s">
        <v>216</v>
      </c>
      <c r="E2126" s="181">
        <v>0.1</v>
      </c>
    </row>
    <row r="2127" spans="2:5" ht="12.75" x14ac:dyDescent="0.2">
      <c r="B2127" s="179" t="s">
        <v>2479</v>
      </c>
      <c r="C2127" s="180" t="s">
        <v>2476</v>
      </c>
      <c r="D2127" s="179" t="s">
        <v>216</v>
      </c>
      <c r="E2127" s="181">
        <v>0.1</v>
      </c>
    </row>
    <row r="2128" spans="2:5" ht="12.75" x14ac:dyDescent="0.2">
      <c r="B2128" s="179" t="s">
        <v>2480</v>
      </c>
      <c r="C2128" s="180" t="s">
        <v>2476</v>
      </c>
      <c r="D2128" s="179" t="s">
        <v>216</v>
      </c>
      <c r="E2128" s="181">
        <v>0.1</v>
      </c>
    </row>
    <row r="2129" spans="2:5" ht="12.75" x14ac:dyDescent="0.2">
      <c r="B2129" s="179" t="s">
        <v>2481</v>
      </c>
      <c r="C2129" s="180" t="s">
        <v>2476</v>
      </c>
      <c r="D2129" s="179" t="s">
        <v>216</v>
      </c>
      <c r="E2129" s="181">
        <v>0.1</v>
      </c>
    </row>
    <row r="2130" spans="2:5" ht="12.75" x14ac:dyDescent="0.2">
      <c r="B2130" s="179" t="s">
        <v>2482</v>
      </c>
      <c r="C2130" s="180" t="s">
        <v>2476</v>
      </c>
      <c r="D2130" s="179" t="s">
        <v>216</v>
      </c>
      <c r="E2130" s="181">
        <v>0.1</v>
      </c>
    </row>
    <row r="2131" spans="2:5" ht="12.75" x14ac:dyDescent="0.2">
      <c r="B2131" s="179" t="s">
        <v>2483</v>
      </c>
      <c r="C2131" s="180" t="s">
        <v>2476</v>
      </c>
      <c r="D2131" s="179" t="s">
        <v>216</v>
      </c>
      <c r="E2131" s="181">
        <v>0.1</v>
      </c>
    </row>
    <row r="2132" spans="2:5" ht="12.75" x14ac:dyDescent="0.2">
      <c r="B2132" s="179" t="s">
        <v>2484</v>
      </c>
      <c r="C2132" s="180" t="s">
        <v>2476</v>
      </c>
      <c r="D2132" s="179" t="s">
        <v>216</v>
      </c>
      <c r="E2132" s="181">
        <v>0.1</v>
      </c>
    </row>
    <row r="2133" spans="2:5" ht="12.75" x14ac:dyDescent="0.2">
      <c r="B2133" s="179" t="s">
        <v>2485</v>
      </c>
      <c r="C2133" s="180" t="s">
        <v>2476</v>
      </c>
      <c r="D2133" s="179" t="s">
        <v>216</v>
      </c>
      <c r="E2133" s="181">
        <v>0.1</v>
      </c>
    </row>
    <row r="2134" spans="2:5" ht="12.75" x14ac:dyDescent="0.2">
      <c r="B2134" s="179" t="s">
        <v>2486</v>
      </c>
      <c r="C2134" s="180" t="s">
        <v>2476</v>
      </c>
      <c r="D2134" s="179" t="s">
        <v>216</v>
      </c>
      <c r="E2134" s="181">
        <v>0.1</v>
      </c>
    </row>
    <row r="2135" spans="2:5" ht="12.75" x14ac:dyDescent="0.2">
      <c r="B2135" s="179" t="s">
        <v>2487</v>
      </c>
      <c r="C2135" s="180" t="s">
        <v>2476</v>
      </c>
      <c r="D2135" s="179" t="s">
        <v>216</v>
      </c>
      <c r="E2135" s="181">
        <v>0.1</v>
      </c>
    </row>
    <row r="2136" spans="2:5" ht="12.75" x14ac:dyDescent="0.2">
      <c r="B2136" s="179" t="s">
        <v>2488</v>
      </c>
      <c r="C2136" s="180" t="s">
        <v>2476</v>
      </c>
      <c r="D2136" s="179" t="s">
        <v>216</v>
      </c>
      <c r="E2136" s="181">
        <v>0.1</v>
      </c>
    </row>
    <row r="2137" spans="2:5" ht="12.75" x14ac:dyDescent="0.2">
      <c r="B2137" s="179" t="s">
        <v>2489</v>
      </c>
      <c r="C2137" s="180" t="s">
        <v>2476</v>
      </c>
      <c r="D2137" s="179" t="s">
        <v>216</v>
      </c>
      <c r="E2137" s="181">
        <v>0.1</v>
      </c>
    </row>
    <row r="2138" spans="2:5" ht="12.75" x14ac:dyDescent="0.2">
      <c r="B2138" s="179" t="s">
        <v>2490</v>
      </c>
      <c r="C2138" s="180" t="s">
        <v>2476</v>
      </c>
      <c r="D2138" s="179" t="s">
        <v>216</v>
      </c>
      <c r="E2138" s="181">
        <v>0.1</v>
      </c>
    </row>
    <row r="2139" spans="2:5" ht="12.75" x14ac:dyDescent="0.2">
      <c r="B2139" s="179" t="s">
        <v>2491</v>
      </c>
      <c r="C2139" s="180" t="s">
        <v>2476</v>
      </c>
      <c r="D2139" s="179" t="s">
        <v>216</v>
      </c>
      <c r="E2139" s="181">
        <v>0.1</v>
      </c>
    </row>
    <row r="2140" spans="2:5" ht="12.75" x14ac:dyDescent="0.2">
      <c r="B2140" s="179" t="s">
        <v>2492</v>
      </c>
      <c r="C2140" s="180" t="s">
        <v>2476</v>
      </c>
      <c r="D2140" s="179" t="s">
        <v>216</v>
      </c>
      <c r="E2140" s="181">
        <v>0.1</v>
      </c>
    </row>
    <row r="2141" spans="2:5" ht="12.75" x14ac:dyDescent="0.2">
      <c r="B2141" s="179" t="s">
        <v>2493</v>
      </c>
      <c r="C2141" s="180" t="s">
        <v>2476</v>
      </c>
      <c r="D2141" s="179" t="s">
        <v>216</v>
      </c>
      <c r="E2141" s="181">
        <v>0.1</v>
      </c>
    </row>
    <row r="2142" spans="2:5" ht="12.75" x14ac:dyDescent="0.2">
      <c r="B2142" s="179" t="s">
        <v>2494</v>
      </c>
      <c r="C2142" s="180" t="s">
        <v>2476</v>
      </c>
      <c r="D2142" s="179" t="s">
        <v>216</v>
      </c>
      <c r="E2142" s="181">
        <v>0.1</v>
      </c>
    </row>
    <row r="2143" spans="2:5" ht="12.75" x14ac:dyDescent="0.2">
      <c r="B2143" s="179" t="s">
        <v>2495</v>
      </c>
      <c r="C2143" s="180" t="s">
        <v>2476</v>
      </c>
      <c r="D2143" s="179" t="s">
        <v>216</v>
      </c>
      <c r="E2143" s="181">
        <v>0.1</v>
      </c>
    </row>
    <row r="2144" spans="2:5" ht="12.75" x14ac:dyDescent="0.2">
      <c r="B2144" s="179" t="s">
        <v>2496</v>
      </c>
      <c r="C2144" s="180" t="s">
        <v>2476</v>
      </c>
      <c r="D2144" s="179" t="s">
        <v>216</v>
      </c>
      <c r="E2144" s="181">
        <v>0.1</v>
      </c>
    </row>
    <row r="2145" spans="2:5" ht="12.75" x14ac:dyDescent="0.2">
      <c r="B2145" s="179" t="s">
        <v>2497</v>
      </c>
      <c r="C2145" s="180" t="s">
        <v>2476</v>
      </c>
      <c r="D2145" s="179" t="s">
        <v>216</v>
      </c>
      <c r="E2145" s="181">
        <v>0.1</v>
      </c>
    </row>
    <row r="2146" spans="2:5" ht="12.75" x14ac:dyDescent="0.2">
      <c r="B2146" s="179" t="s">
        <v>2498</v>
      </c>
      <c r="C2146" s="180" t="s">
        <v>2476</v>
      </c>
      <c r="D2146" s="179" t="s">
        <v>216</v>
      </c>
      <c r="E2146" s="181">
        <v>0.1</v>
      </c>
    </row>
    <row r="2147" spans="2:5" ht="12.75" x14ac:dyDescent="0.2">
      <c r="B2147" s="179" t="s">
        <v>2499</v>
      </c>
      <c r="C2147" s="180" t="s">
        <v>2476</v>
      </c>
      <c r="D2147" s="179" t="s">
        <v>216</v>
      </c>
      <c r="E2147" s="181">
        <v>0.1</v>
      </c>
    </row>
    <row r="2148" spans="2:5" ht="12.75" x14ac:dyDescent="0.2">
      <c r="B2148" s="179" t="s">
        <v>2500</v>
      </c>
      <c r="C2148" s="180" t="s">
        <v>2501</v>
      </c>
      <c r="D2148" s="179" t="s">
        <v>214</v>
      </c>
      <c r="E2148" s="181">
        <v>2</v>
      </c>
    </row>
    <row r="2149" spans="2:5" ht="12.75" x14ac:dyDescent="0.2">
      <c r="B2149" s="179" t="s">
        <v>2502</v>
      </c>
      <c r="C2149" s="180" t="s">
        <v>2503</v>
      </c>
      <c r="D2149" s="179" t="s">
        <v>214</v>
      </c>
      <c r="E2149" s="181">
        <v>0.5</v>
      </c>
    </row>
    <row r="2150" spans="2:5" ht="12.75" x14ac:dyDescent="0.2">
      <c r="B2150" s="179" t="s">
        <v>2504</v>
      </c>
      <c r="C2150" s="180" t="s">
        <v>2503</v>
      </c>
      <c r="D2150" s="179" t="s">
        <v>216</v>
      </c>
      <c r="E2150" s="181">
        <v>0.5</v>
      </c>
    </row>
    <row r="2151" spans="2:5" ht="12.75" x14ac:dyDescent="0.2">
      <c r="B2151" s="179" t="s">
        <v>2505</v>
      </c>
      <c r="C2151" s="180" t="s">
        <v>2503</v>
      </c>
      <c r="D2151" s="179" t="s">
        <v>216</v>
      </c>
      <c r="E2151" s="181">
        <v>0.5</v>
      </c>
    </row>
    <row r="2152" spans="2:5" ht="12.75" x14ac:dyDescent="0.2">
      <c r="B2152" s="179" t="s">
        <v>2506</v>
      </c>
      <c r="C2152" s="180" t="s">
        <v>2503</v>
      </c>
      <c r="D2152" s="179" t="s">
        <v>216</v>
      </c>
      <c r="E2152" s="181">
        <v>0.5</v>
      </c>
    </row>
    <row r="2153" spans="2:5" ht="12.75" x14ac:dyDescent="0.2">
      <c r="B2153" s="179" t="s">
        <v>2507</v>
      </c>
      <c r="C2153" s="180" t="s">
        <v>2508</v>
      </c>
      <c r="D2153" s="179" t="s">
        <v>214</v>
      </c>
      <c r="E2153" s="181">
        <v>0.1</v>
      </c>
    </row>
    <row r="2154" spans="2:5" ht="12.75" x14ac:dyDescent="0.2">
      <c r="B2154" s="179" t="s">
        <v>2509</v>
      </c>
      <c r="C2154" s="180" t="s">
        <v>2508</v>
      </c>
      <c r="D2154" s="179" t="s">
        <v>216</v>
      </c>
      <c r="E2154" s="181">
        <v>0.5</v>
      </c>
    </row>
    <row r="2155" spans="2:5" ht="12.75" x14ac:dyDescent="0.2">
      <c r="B2155" s="179" t="s">
        <v>2510</v>
      </c>
      <c r="C2155" s="180" t="s">
        <v>2511</v>
      </c>
      <c r="D2155" s="179" t="s">
        <v>214</v>
      </c>
      <c r="E2155" s="181">
        <v>0.1</v>
      </c>
    </row>
    <row r="2156" spans="2:5" ht="12.75" x14ac:dyDescent="0.2">
      <c r="B2156" s="179" t="s">
        <v>2512</v>
      </c>
      <c r="C2156" s="180" t="s">
        <v>2513</v>
      </c>
      <c r="D2156" s="179" t="s">
        <v>216</v>
      </c>
      <c r="E2156" s="181">
        <v>0.5</v>
      </c>
    </row>
    <row r="2157" spans="2:5" ht="12.75" x14ac:dyDescent="0.2">
      <c r="B2157" s="179" t="s">
        <v>2514</v>
      </c>
      <c r="C2157" s="180" t="s">
        <v>2513</v>
      </c>
      <c r="D2157" s="179" t="s">
        <v>216</v>
      </c>
      <c r="E2157" s="181">
        <v>0.5</v>
      </c>
    </row>
    <row r="2158" spans="2:5" ht="12.75" x14ac:dyDescent="0.2">
      <c r="B2158" s="179" t="s">
        <v>2515</v>
      </c>
      <c r="C2158" s="180" t="s">
        <v>2513</v>
      </c>
      <c r="D2158" s="179" t="s">
        <v>216</v>
      </c>
      <c r="E2158" s="181">
        <v>0.5</v>
      </c>
    </row>
    <row r="2159" spans="2:5" ht="12.75" x14ac:dyDescent="0.2">
      <c r="B2159" s="179" t="s">
        <v>2516</v>
      </c>
      <c r="C2159" s="180" t="s">
        <v>2513</v>
      </c>
      <c r="D2159" s="179" t="s">
        <v>216</v>
      </c>
      <c r="E2159" s="181">
        <v>0.5</v>
      </c>
    </row>
    <row r="2160" spans="2:5" ht="12.75" x14ac:dyDescent="0.2">
      <c r="B2160" s="179" t="s">
        <v>2517</v>
      </c>
      <c r="C2160" s="180" t="s">
        <v>2513</v>
      </c>
      <c r="D2160" s="179" t="s">
        <v>216</v>
      </c>
      <c r="E2160" s="181">
        <v>0.5</v>
      </c>
    </row>
    <row r="2161" spans="2:5" ht="12.75" x14ac:dyDescent="0.2">
      <c r="B2161" s="179" t="s">
        <v>2518</v>
      </c>
      <c r="C2161" s="180" t="s">
        <v>2513</v>
      </c>
      <c r="D2161" s="179" t="s">
        <v>216</v>
      </c>
      <c r="E2161" s="181">
        <v>0.5</v>
      </c>
    </row>
    <row r="2162" spans="2:5" ht="12.75" x14ac:dyDescent="0.2">
      <c r="B2162" s="179" t="s">
        <v>2519</v>
      </c>
      <c r="C2162" s="180" t="s">
        <v>2520</v>
      </c>
      <c r="D2162" s="179" t="s">
        <v>214</v>
      </c>
      <c r="E2162" s="181">
        <v>0.1</v>
      </c>
    </row>
    <row r="2163" spans="2:5" ht="12.75" x14ac:dyDescent="0.2">
      <c r="B2163" s="179" t="s">
        <v>2521</v>
      </c>
      <c r="C2163" s="180" t="s">
        <v>2522</v>
      </c>
      <c r="D2163" s="179" t="s">
        <v>214</v>
      </c>
      <c r="E2163" s="181">
        <v>0.1</v>
      </c>
    </row>
    <row r="2164" spans="2:5" ht="12.75" x14ac:dyDescent="0.2">
      <c r="B2164" s="179" t="s">
        <v>2523</v>
      </c>
      <c r="C2164" s="180" t="s">
        <v>2524</v>
      </c>
      <c r="D2164" s="179" t="s">
        <v>214</v>
      </c>
      <c r="E2164" s="181">
        <v>0.5</v>
      </c>
    </row>
    <row r="2165" spans="2:5" ht="12.75" x14ac:dyDescent="0.2">
      <c r="B2165" s="179" t="s">
        <v>2525</v>
      </c>
      <c r="C2165" s="180" t="s">
        <v>2524</v>
      </c>
      <c r="D2165" s="179" t="s">
        <v>216</v>
      </c>
      <c r="E2165" s="181">
        <v>0.5</v>
      </c>
    </row>
    <row r="2166" spans="2:5" ht="12.75" x14ac:dyDescent="0.2">
      <c r="B2166" s="179" t="s">
        <v>2526</v>
      </c>
      <c r="C2166" s="180" t="s">
        <v>2524</v>
      </c>
      <c r="D2166" s="179" t="s">
        <v>216</v>
      </c>
      <c r="E2166" s="181">
        <v>0.5</v>
      </c>
    </row>
    <row r="2167" spans="2:5" ht="12.75" x14ac:dyDescent="0.2">
      <c r="B2167" s="179" t="s">
        <v>2527</v>
      </c>
      <c r="C2167" s="180" t="s">
        <v>2524</v>
      </c>
      <c r="D2167" s="179" t="s">
        <v>216</v>
      </c>
      <c r="E2167" s="181">
        <v>0.5</v>
      </c>
    </row>
    <row r="2168" spans="2:5" ht="12.75" x14ac:dyDescent="0.2">
      <c r="B2168" s="179" t="s">
        <v>2528</v>
      </c>
      <c r="C2168" s="180" t="s">
        <v>2524</v>
      </c>
      <c r="D2168" s="179" t="s">
        <v>216</v>
      </c>
      <c r="E2168" s="181">
        <v>0.5</v>
      </c>
    </row>
    <row r="2169" spans="2:5" ht="12.75" x14ac:dyDescent="0.2">
      <c r="B2169" s="179" t="s">
        <v>2529</v>
      </c>
      <c r="C2169" s="180" t="s">
        <v>2524</v>
      </c>
      <c r="D2169" s="179" t="s">
        <v>216</v>
      </c>
      <c r="E2169" s="181">
        <v>0.5</v>
      </c>
    </row>
    <row r="2170" spans="2:5" ht="12.75" x14ac:dyDescent="0.2">
      <c r="B2170" s="179" t="s">
        <v>2530</v>
      </c>
      <c r="C2170" s="180" t="s">
        <v>2524</v>
      </c>
      <c r="D2170" s="179" t="s">
        <v>216</v>
      </c>
      <c r="E2170" s="181">
        <v>0.5</v>
      </c>
    </row>
    <row r="2171" spans="2:5" ht="12.75" x14ac:dyDescent="0.2">
      <c r="B2171" s="179" t="s">
        <v>2531</v>
      </c>
      <c r="C2171" s="180" t="s">
        <v>2524</v>
      </c>
      <c r="D2171" s="179" t="s">
        <v>216</v>
      </c>
      <c r="E2171" s="181">
        <v>0.5</v>
      </c>
    </row>
    <row r="2172" spans="2:5" ht="12.75" x14ac:dyDescent="0.2">
      <c r="B2172" s="179" t="s">
        <v>2532</v>
      </c>
      <c r="C2172" s="180" t="s">
        <v>2524</v>
      </c>
      <c r="D2172" s="179" t="s">
        <v>216</v>
      </c>
      <c r="E2172" s="181">
        <v>0.5</v>
      </c>
    </row>
    <row r="2173" spans="2:5" ht="12.75" x14ac:dyDescent="0.2">
      <c r="B2173" s="179" t="s">
        <v>2533</v>
      </c>
      <c r="C2173" s="180" t="s">
        <v>2524</v>
      </c>
      <c r="D2173" s="179" t="s">
        <v>216</v>
      </c>
      <c r="E2173" s="181">
        <v>0.5</v>
      </c>
    </row>
    <row r="2174" spans="2:5" ht="12.75" x14ac:dyDescent="0.2">
      <c r="B2174" s="179" t="s">
        <v>2534</v>
      </c>
      <c r="C2174" s="180" t="s">
        <v>2524</v>
      </c>
      <c r="D2174" s="179" t="s">
        <v>216</v>
      </c>
      <c r="E2174" s="181">
        <v>0.5</v>
      </c>
    </row>
    <row r="2175" spans="2:5" ht="12.75" x14ac:dyDescent="0.2">
      <c r="B2175" s="179" t="s">
        <v>2535</v>
      </c>
      <c r="C2175" s="180" t="s">
        <v>2524</v>
      </c>
      <c r="D2175" s="179" t="s">
        <v>216</v>
      </c>
      <c r="E2175" s="181">
        <v>0.5</v>
      </c>
    </row>
    <row r="2176" spans="2:5" ht="12.75" x14ac:dyDescent="0.2">
      <c r="B2176" s="179" t="s">
        <v>2536</v>
      </c>
      <c r="C2176" s="180" t="s">
        <v>2524</v>
      </c>
      <c r="D2176" s="179" t="s">
        <v>216</v>
      </c>
      <c r="E2176" s="181">
        <v>0.5</v>
      </c>
    </row>
    <row r="2177" spans="2:5" ht="12.75" x14ac:dyDescent="0.2">
      <c r="B2177" s="179" t="s">
        <v>2537</v>
      </c>
      <c r="C2177" s="180" t="s">
        <v>2524</v>
      </c>
      <c r="D2177" s="179" t="s">
        <v>216</v>
      </c>
      <c r="E2177" s="181">
        <v>0.5</v>
      </c>
    </row>
    <row r="2178" spans="2:5" ht="12.75" x14ac:dyDescent="0.2">
      <c r="B2178" s="179" t="s">
        <v>2538</v>
      </c>
      <c r="C2178" s="180" t="s">
        <v>2524</v>
      </c>
      <c r="D2178" s="179" t="s">
        <v>216</v>
      </c>
      <c r="E2178" s="181">
        <v>0.5</v>
      </c>
    </row>
    <row r="2179" spans="2:5" ht="12.75" x14ac:dyDescent="0.2">
      <c r="B2179" s="179" t="s">
        <v>2539</v>
      </c>
      <c r="C2179" s="180" t="s">
        <v>2524</v>
      </c>
      <c r="D2179" s="179" t="s">
        <v>216</v>
      </c>
      <c r="E2179" s="181">
        <v>0.5</v>
      </c>
    </row>
    <row r="2180" spans="2:5" ht="12.75" x14ac:dyDescent="0.2">
      <c r="B2180" s="179" t="s">
        <v>2540</v>
      </c>
      <c r="C2180" s="180" t="s">
        <v>2524</v>
      </c>
      <c r="D2180" s="179" t="s">
        <v>216</v>
      </c>
      <c r="E2180" s="181">
        <v>0.5</v>
      </c>
    </row>
    <row r="2181" spans="2:5" ht="12.75" x14ac:dyDescent="0.2">
      <c r="B2181" s="179" t="s">
        <v>2541</v>
      </c>
      <c r="C2181" s="180" t="s">
        <v>2524</v>
      </c>
      <c r="D2181" s="179" t="s">
        <v>216</v>
      </c>
      <c r="E2181" s="181">
        <v>0.5</v>
      </c>
    </row>
    <row r="2182" spans="2:5" ht="12.75" x14ac:dyDescent="0.2">
      <c r="B2182" s="179" t="s">
        <v>2542</v>
      </c>
      <c r="C2182" s="180" t="s">
        <v>2524</v>
      </c>
      <c r="D2182" s="179" t="s">
        <v>216</v>
      </c>
      <c r="E2182" s="181">
        <v>0.5</v>
      </c>
    </row>
    <row r="2183" spans="2:5" ht="12.75" x14ac:dyDescent="0.2">
      <c r="B2183" s="179" t="s">
        <v>2543</v>
      </c>
      <c r="C2183" s="180" t="s">
        <v>2524</v>
      </c>
      <c r="D2183" s="179" t="s">
        <v>216</v>
      </c>
      <c r="E2183" s="181">
        <v>0.5</v>
      </c>
    </row>
    <row r="2184" spans="2:5" ht="12.75" x14ac:dyDescent="0.2">
      <c r="B2184" s="179" t="s">
        <v>2544</v>
      </c>
      <c r="C2184" s="180" t="s">
        <v>2524</v>
      </c>
      <c r="D2184" s="179" t="s">
        <v>216</v>
      </c>
      <c r="E2184" s="181">
        <v>0.5</v>
      </c>
    </row>
    <row r="2185" spans="2:5" ht="12.75" x14ac:dyDescent="0.2">
      <c r="B2185" s="179" t="s">
        <v>2545</v>
      </c>
      <c r="C2185" s="180" t="s">
        <v>2524</v>
      </c>
      <c r="D2185" s="179" t="s">
        <v>216</v>
      </c>
      <c r="E2185" s="181">
        <v>0.5</v>
      </c>
    </row>
    <row r="2186" spans="2:5" ht="12.75" x14ac:dyDescent="0.2">
      <c r="B2186" s="179" t="s">
        <v>2546</v>
      </c>
      <c r="C2186" s="180" t="s">
        <v>2524</v>
      </c>
      <c r="D2186" s="179" t="s">
        <v>216</v>
      </c>
      <c r="E2186" s="181">
        <v>0.5</v>
      </c>
    </row>
    <row r="2187" spans="2:5" ht="12.75" x14ac:dyDescent="0.2">
      <c r="B2187" s="179" t="s">
        <v>2547</v>
      </c>
      <c r="C2187" s="180" t="s">
        <v>2524</v>
      </c>
      <c r="D2187" s="179" t="s">
        <v>216</v>
      </c>
      <c r="E2187" s="181">
        <v>0.5</v>
      </c>
    </row>
    <row r="2188" spans="2:5" ht="12.75" x14ac:dyDescent="0.2">
      <c r="B2188" s="179" t="s">
        <v>2548</v>
      </c>
      <c r="C2188" s="180" t="s">
        <v>2524</v>
      </c>
      <c r="D2188" s="179" t="s">
        <v>216</v>
      </c>
      <c r="E2188" s="181">
        <v>0.5</v>
      </c>
    </row>
    <row r="2189" spans="2:5" ht="12.75" x14ac:dyDescent="0.2">
      <c r="B2189" s="179" t="s">
        <v>2549</v>
      </c>
      <c r="C2189" s="180" t="s">
        <v>2524</v>
      </c>
      <c r="D2189" s="179" t="s">
        <v>216</v>
      </c>
      <c r="E2189" s="181">
        <v>0.5</v>
      </c>
    </row>
    <row r="2190" spans="2:5" ht="12.75" x14ac:dyDescent="0.2">
      <c r="B2190" s="179" t="s">
        <v>2550</v>
      </c>
      <c r="C2190" s="180" t="s">
        <v>2524</v>
      </c>
      <c r="D2190" s="179" t="s">
        <v>216</v>
      </c>
      <c r="E2190" s="181">
        <v>0.5</v>
      </c>
    </row>
    <row r="2191" spans="2:5" ht="12.75" x14ac:dyDescent="0.2">
      <c r="B2191" s="179" t="s">
        <v>2551</v>
      </c>
      <c r="C2191" s="180" t="s">
        <v>2524</v>
      </c>
      <c r="D2191" s="179" t="s">
        <v>216</v>
      </c>
      <c r="E2191" s="181">
        <v>0.5</v>
      </c>
    </row>
    <row r="2192" spans="2:5" ht="12.75" x14ac:dyDescent="0.2">
      <c r="B2192" s="179" t="s">
        <v>2552</v>
      </c>
      <c r="C2192" s="180" t="s">
        <v>2524</v>
      </c>
      <c r="D2192" s="179" t="s">
        <v>216</v>
      </c>
      <c r="E2192" s="181">
        <v>0.5</v>
      </c>
    </row>
    <row r="2193" spans="2:5" ht="12.75" x14ac:dyDescent="0.2">
      <c r="B2193" s="179" t="s">
        <v>2553</v>
      </c>
      <c r="C2193" s="180" t="s">
        <v>2524</v>
      </c>
      <c r="D2193" s="179" t="s">
        <v>216</v>
      </c>
      <c r="E2193" s="181">
        <v>0.5</v>
      </c>
    </row>
    <row r="2194" spans="2:5" ht="12.75" x14ac:dyDescent="0.2">
      <c r="B2194" s="179" t="s">
        <v>2554</v>
      </c>
      <c r="C2194" s="180" t="s">
        <v>2524</v>
      </c>
      <c r="D2194" s="179" t="s">
        <v>216</v>
      </c>
      <c r="E2194" s="181">
        <v>0.5</v>
      </c>
    </row>
    <row r="2195" spans="2:5" ht="12.75" x14ac:dyDescent="0.2">
      <c r="B2195" s="179" t="s">
        <v>2555</v>
      </c>
      <c r="C2195" s="180" t="s">
        <v>2524</v>
      </c>
      <c r="D2195" s="179" t="s">
        <v>216</v>
      </c>
      <c r="E2195" s="181">
        <v>0.5</v>
      </c>
    </row>
    <row r="2196" spans="2:5" ht="12.75" x14ac:dyDescent="0.2">
      <c r="B2196" s="179" t="s">
        <v>2556</v>
      </c>
      <c r="C2196" s="180" t="s">
        <v>2524</v>
      </c>
      <c r="D2196" s="179" t="s">
        <v>216</v>
      </c>
      <c r="E2196" s="181">
        <v>0.5</v>
      </c>
    </row>
    <row r="2197" spans="2:5" ht="12.75" x14ac:dyDescent="0.2">
      <c r="B2197" s="179" t="s">
        <v>2557</v>
      </c>
      <c r="C2197" s="180" t="s">
        <v>2524</v>
      </c>
      <c r="D2197" s="179" t="s">
        <v>216</v>
      </c>
      <c r="E2197" s="181">
        <v>0.5</v>
      </c>
    </row>
    <row r="2198" spans="2:5" ht="12.75" x14ac:dyDescent="0.2">
      <c r="B2198" s="179" t="s">
        <v>2558</v>
      </c>
      <c r="C2198" s="180" t="s">
        <v>2524</v>
      </c>
      <c r="D2198" s="179" t="s">
        <v>216</v>
      </c>
      <c r="E2198" s="181">
        <v>0.5</v>
      </c>
    </row>
    <row r="2199" spans="2:5" ht="12.75" x14ac:dyDescent="0.2">
      <c r="B2199" s="179" t="s">
        <v>2559</v>
      </c>
      <c r="C2199" s="180" t="s">
        <v>2524</v>
      </c>
      <c r="D2199" s="179" t="s">
        <v>216</v>
      </c>
      <c r="E2199" s="181">
        <v>0.5</v>
      </c>
    </row>
    <row r="2200" spans="2:5" ht="12.75" x14ac:dyDescent="0.2">
      <c r="B2200" s="179" t="s">
        <v>2560</v>
      </c>
      <c r="C2200" s="180" t="s">
        <v>2524</v>
      </c>
      <c r="D2200" s="179" t="s">
        <v>216</v>
      </c>
      <c r="E2200" s="181">
        <v>0.5</v>
      </c>
    </row>
    <row r="2201" spans="2:5" ht="12.75" x14ac:dyDescent="0.2">
      <c r="B2201" s="179" t="s">
        <v>2561</v>
      </c>
      <c r="C2201" s="180" t="s">
        <v>2524</v>
      </c>
      <c r="D2201" s="179" t="s">
        <v>216</v>
      </c>
      <c r="E2201" s="181">
        <v>0.5</v>
      </c>
    </row>
    <row r="2202" spans="2:5" ht="12.75" x14ac:dyDescent="0.2">
      <c r="B2202" s="179" t="s">
        <v>2562</v>
      </c>
      <c r="C2202" s="180" t="s">
        <v>2524</v>
      </c>
      <c r="D2202" s="179" t="s">
        <v>216</v>
      </c>
      <c r="E2202" s="181">
        <v>0.5</v>
      </c>
    </row>
    <row r="2203" spans="2:5" ht="12.75" x14ac:dyDescent="0.2">
      <c r="B2203" s="179" t="s">
        <v>2563</v>
      </c>
      <c r="C2203" s="180" t="s">
        <v>2524</v>
      </c>
      <c r="D2203" s="179" t="s">
        <v>216</v>
      </c>
      <c r="E2203" s="181">
        <v>0.5</v>
      </c>
    </row>
    <row r="2204" spans="2:5" ht="12.75" x14ac:dyDescent="0.2">
      <c r="B2204" s="179" t="s">
        <v>2564</v>
      </c>
      <c r="C2204" s="180" t="s">
        <v>2524</v>
      </c>
      <c r="D2204" s="179" t="s">
        <v>216</v>
      </c>
      <c r="E2204" s="181">
        <v>0.5</v>
      </c>
    </row>
    <row r="2205" spans="2:5" ht="12.75" x14ac:dyDescent="0.2">
      <c r="B2205" s="179" t="s">
        <v>2565</v>
      </c>
      <c r="C2205" s="180" t="s">
        <v>2524</v>
      </c>
      <c r="D2205" s="179" t="s">
        <v>216</v>
      </c>
      <c r="E2205" s="181">
        <v>0.5</v>
      </c>
    </row>
    <row r="2206" spans="2:5" ht="12.75" x14ac:dyDescent="0.2">
      <c r="B2206" s="179" t="s">
        <v>2566</v>
      </c>
      <c r="C2206" s="180" t="s">
        <v>2524</v>
      </c>
      <c r="D2206" s="179" t="s">
        <v>216</v>
      </c>
      <c r="E2206" s="181">
        <v>0.5</v>
      </c>
    </row>
    <row r="2207" spans="2:5" ht="12.75" x14ac:dyDescent="0.2">
      <c r="B2207" s="179" t="s">
        <v>2567</v>
      </c>
      <c r="C2207" s="180" t="s">
        <v>2524</v>
      </c>
      <c r="D2207" s="179" t="s">
        <v>216</v>
      </c>
      <c r="E2207" s="181">
        <v>0.5</v>
      </c>
    </row>
    <row r="2208" spans="2:5" ht="12.75" x14ac:dyDescent="0.2">
      <c r="B2208" s="179" t="s">
        <v>2568</v>
      </c>
      <c r="C2208" s="180" t="s">
        <v>2524</v>
      </c>
      <c r="D2208" s="179" t="s">
        <v>216</v>
      </c>
      <c r="E2208" s="181">
        <v>0.5</v>
      </c>
    </row>
    <row r="2209" spans="2:5" ht="12.75" x14ac:dyDescent="0.2">
      <c r="B2209" s="179" t="s">
        <v>2569</v>
      </c>
      <c r="C2209" s="180" t="s">
        <v>2524</v>
      </c>
      <c r="D2209" s="179" t="s">
        <v>216</v>
      </c>
      <c r="E2209" s="181">
        <v>0.5</v>
      </c>
    </row>
    <row r="2210" spans="2:5" ht="12.75" x14ac:dyDescent="0.2">
      <c r="B2210" s="179" t="s">
        <v>2570</v>
      </c>
      <c r="C2210" s="180" t="s">
        <v>2524</v>
      </c>
      <c r="D2210" s="179" t="s">
        <v>216</v>
      </c>
      <c r="E2210" s="181">
        <v>0.5</v>
      </c>
    </row>
    <row r="2211" spans="2:5" ht="12.75" x14ac:dyDescent="0.2">
      <c r="B2211" s="179" t="s">
        <v>2571</v>
      </c>
      <c r="C2211" s="180" t="s">
        <v>2524</v>
      </c>
      <c r="D2211" s="179" t="s">
        <v>216</v>
      </c>
      <c r="E2211" s="181">
        <v>0.5</v>
      </c>
    </row>
    <row r="2212" spans="2:5" ht="12.75" x14ac:dyDescent="0.2">
      <c r="B2212" s="179" t="s">
        <v>2572</v>
      </c>
      <c r="C2212" s="180" t="s">
        <v>2573</v>
      </c>
      <c r="D2212" s="179" t="s">
        <v>214</v>
      </c>
      <c r="E2212" s="181">
        <v>0.1</v>
      </c>
    </row>
    <row r="2213" spans="2:5" ht="12.75" x14ac:dyDescent="0.2">
      <c r="B2213" s="179" t="s">
        <v>2574</v>
      </c>
      <c r="C2213" s="180" t="s">
        <v>2573</v>
      </c>
      <c r="D2213" s="179" t="s">
        <v>216</v>
      </c>
      <c r="E2213" s="181">
        <v>0.1</v>
      </c>
    </row>
    <row r="2214" spans="2:5" ht="12.75" x14ac:dyDescent="0.2">
      <c r="B2214" s="179" t="s">
        <v>2575</v>
      </c>
      <c r="C2214" s="180" t="s">
        <v>2573</v>
      </c>
      <c r="D2214" s="179" t="s">
        <v>216</v>
      </c>
      <c r="E2214" s="181">
        <v>0.1</v>
      </c>
    </row>
    <row r="2215" spans="2:5" ht="12.75" x14ac:dyDescent="0.2">
      <c r="B2215" s="179" t="s">
        <v>2576</v>
      </c>
      <c r="C2215" s="180" t="s">
        <v>2573</v>
      </c>
      <c r="D2215" s="179" t="s">
        <v>216</v>
      </c>
      <c r="E2215" s="181">
        <v>0.1</v>
      </c>
    </row>
    <row r="2216" spans="2:5" ht="12.75" x14ac:dyDescent="0.2">
      <c r="B2216" s="179" t="s">
        <v>2577</v>
      </c>
      <c r="C2216" s="180" t="s">
        <v>2573</v>
      </c>
      <c r="D2216" s="179" t="s">
        <v>216</v>
      </c>
      <c r="E2216" s="181">
        <v>0.1</v>
      </c>
    </row>
    <row r="2217" spans="2:5" ht="12.75" x14ac:dyDescent="0.2">
      <c r="B2217" s="179" t="s">
        <v>2578</v>
      </c>
      <c r="C2217" s="180" t="s">
        <v>2573</v>
      </c>
      <c r="D2217" s="179" t="s">
        <v>216</v>
      </c>
      <c r="E2217" s="181">
        <v>0.1</v>
      </c>
    </row>
    <row r="2218" spans="2:5" ht="12.75" x14ac:dyDescent="0.2">
      <c r="B2218" s="179" t="s">
        <v>2579</v>
      </c>
      <c r="C2218" s="180" t="s">
        <v>2573</v>
      </c>
      <c r="D2218" s="179" t="s">
        <v>216</v>
      </c>
      <c r="E2218" s="181">
        <v>0.1</v>
      </c>
    </row>
    <row r="2219" spans="2:5" ht="12.75" x14ac:dyDescent="0.2">
      <c r="B2219" s="179" t="s">
        <v>2580</v>
      </c>
      <c r="C2219" s="180" t="s">
        <v>2581</v>
      </c>
      <c r="D2219" s="179" t="s">
        <v>214</v>
      </c>
      <c r="E2219" s="181">
        <v>0.5</v>
      </c>
    </row>
    <row r="2220" spans="2:5" ht="12.75" x14ac:dyDescent="0.2">
      <c r="B2220" s="179" t="s">
        <v>2582</v>
      </c>
      <c r="C2220" s="180" t="s">
        <v>2581</v>
      </c>
      <c r="D2220" s="179" t="s">
        <v>216</v>
      </c>
      <c r="E2220" s="181">
        <v>0.5</v>
      </c>
    </row>
    <row r="2221" spans="2:5" ht="12.75" x14ac:dyDescent="0.2">
      <c r="B2221" s="179" t="s">
        <v>2583</v>
      </c>
      <c r="C2221" s="180" t="s">
        <v>2581</v>
      </c>
      <c r="D2221" s="179" t="s">
        <v>216</v>
      </c>
      <c r="E2221" s="181">
        <v>0.5</v>
      </c>
    </row>
    <row r="2222" spans="2:5" ht="12.75" x14ac:dyDescent="0.2">
      <c r="B2222" s="179" t="s">
        <v>2584</v>
      </c>
      <c r="C2222" s="180" t="s">
        <v>2581</v>
      </c>
      <c r="D2222" s="179" t="s">
        <v>216</v>
      </c>
      <c r="E2222" s="181">
        <v>0.5</v>
      </c>
    </row>
    <row r="2223" spans="2:5" ht="12.75" x14ac:dyDescent="0.2">
      <c r="B2223" s="179" t="s">
        <v>2585</v>
      </c>
      <c r="C2223" s="180" t="s">
        <v>2586</v>
      </c>
      <c r="D2223" s="179" t="s">
        <v>216</v>
      </c>
      <c r="E2223" s="181">
        <v>0.5</v>
      </c>
    </row>
    <row r="2224" spans="2:5" ht="12.75" x14ac:dyDescent="0.2">
      <c r="B2224" s="179" t="s">
        <v>2587</v>
      </c>
      <c r="C2224" s="180" t="s">
        <v>2586</v>
      </c>
      <c r="D2224" s="179" t="s">
        <v>216</v>
      </c>
      <c r="E2224" s="181">
        <v>0.5</v>
      </c>
    </row>
    <row r="2225" spans="2:5" ht="12.75" x14ac:dyDescent="0.2">
      <c r="B2225" s="179" t="s">
        <v>2588</v>
      </c>
      <c r="C2225" s="180" t="s">
        <v>2586</v>
      </c>
      <c r="D2225" s="179" t="s">
        <v>216</v>
      </c>
      <c r="E2225" s="181">
        <v>0.5</v>
      </c>
    </row>
    <row r="2226" spans="2:5" ht="12.75" x14ac:dyDescent="0.2">
      <c r="B2226" s="179" t="s">
        <v>2589</v>
      </c>
      <c r="C2226" s="180" t="s">
        <v>2586</v>
      </c>
      <c r="D2226" s="179" t="s">
        <v>216</v>
      </c>
      <c r="E2226" s="181">
        <v>0.5</v>
      </c>
    </row>
    <row r="2227" spans="2:5" ht="12.75" x14ac:dyDescent="0.2">
      <c r="B2227" s="179" t="s">
        <v>2590</v>
      </c>
      <c r="C2227" s="180" t="s">
        <v>2586</v>
      </c>
      <c r="D2227" s="179" t="s">
        <v>216</v>
      </c>
      <c r="E2227" s="181">
        <v>0.5</v>
      </c>
    </row>
    <row r="2228" spans="2:5" ht="12.75" x14ac:dyDescent="0.2">
      <c r="B2228" s="179" t="s">
        <v>2591</v>
      </c>
      <c r="C2228" s="180" t="s">
        <v>2586</v>
      </c>
      <c r="D2228" s="179" t="s">
        <v>216</v>
      </c>
      <c r="E2228" s="181">
        <v>0.5</v>
      </c>
    </row>
    <row r="2229" spans="2:5" ht="12.75" x14ac:dyDescent="0.2">
      <c r="B2229" s="179" t="s">
        <v>2592</v>
      </c>
      <c r="C2229" s="180" t="s">
        <v>2593</v>
      </c>
      <c r="D2229" s="179" t="s">
        <v>216</v>
      </c>
      <c r="E2229" s="181">
        <v>0.5</v>
      </c>
    </row>
    <row r="2230" spans="2:5" ht="12.75" x14ac:dyDescent="0.2">
      <c r="B2230" s="179" t="s">
        <v>2594</v>
      </c>
      <c r="C2230" s="180" t="s">
        <v>2593</v>
      </c>
      <c r="D2230" s="179" t="s">
        <v>214</v>
      </c>
      <c r="E2230" s="181">
        <v>0.5</v>
      </c>
    </row>
    <row r="2231" spans="2:5" ht="12.75" x14ac:dyDescent="0.2">
      <c r="B2231" s="179" t="s">
        <v>2595</v>
      </c>
      <c r="C2231" s="180" t="s">
        <v>2593</v>
      </c>
      <c r="D2231" s="179" t="s">
        <v>216</v>
      </c>
      <c r="E2231" s="181">
        <v>0.5</v>
      </c>
    </row>
    <row r="2232" spans="2:5" ht="12.75" x14ac:dyDescent="0.2">
      <c r="B2232" s="179" t="s">
        <v>2596</v>
      </c>
      <c r="C2232" s="180" t="s">
        <v>2593</v>
      </c>
      <c r="D2232" s="179" t="s">
        <v>216</v>
      </c>
      <c r="E2232" s="181">
        <v>0.5</v>
      </c>
    </row>
    <row r="2233" spans="2:5" ht="12.75" x14ac:dyDescent="0.2">
      <c r="B2233" s="179" t="s">
        <v>2597</v>
      </c>
      <c r="C2233" s="180" t="s">
        <v>2593</v>
      </c>
      <c r="D2233" s="179" t="s">
        <v>216</v>
      </c>
      <c r="E2233" s="181">
        <v>0.5</v>
      </c>
    </row>
    <row r="2234" spans="2:5" ht="12.75" x14ac:dyDescent="0.2">
      <c r="B2234" s="179" t="s">
        <v>2598</v>
      </c>
      <c r="C2234" s="180" t="s">
        <v>2593</v>
      </c>
      <c r="D2234" s="179" t="s">
        <v>216</v>
      </c>
      <c r="E2234" s="181">
        <v>0.5</v>
      </c>
    </row>
    <row r="2235" spans="2:5" ht="12.75" x14ac:dyDescent="0.2">
      <c r="B2235" s="179" t="s">
        <v>2599</v>
      </c>
      <c r="C2235" s="180" t="s">
        <v>2593</v>
      </c>
      <c r="D2235" s="179" t="s">
        <v>216</v>
      </c>
      <c r="E2235" s="181">
        <v>0.5</v>
      </c>
    </row>
    <row r="2236" spans="2:5" ht="12.75" x14ac:dyDescent="0.2">
      <c r="B2236" s="179" t="s">
        <v>2600</v>
      </c>
      <c r="C2236" s="180" t="s">
        <v>2593</v>
      </c>
      <c r="D2236" s="179" t="s">
        <v>216</v>
      </c>
      <c r="E2236" s="181">
        <v>0.5</v>
      </c>
    </row>
    <row r="2237" spans="2:5" ht="12.75" x14ac:dyDescent="0.2">
      <c r="B2237" s="179" t="s">
        <v>2601</v>
      </c>
      <c r="C2237" s="180" t="s">
        <v>2593</v>
      </c>
      <c r="D2237" s="179" t="s">
        <v>214</v>
      </c>
      <c r="E2237" s="181">
        <v>0.5</v>
      </c>
    </row>
    <row r="2238" spans="2:5" ht="12.75" x14ac:dyDescent="0.2">
      <c r="B2238" s="179" t="s">
        <v>2602</v>
      </c>
      <c r="C2238" s="180" t="s">
        <v>2593</v>
      </c>
      <c r="D2238" s="179" t="s">
        <v>216</v>
      </c>
      <c r="E2238" s="181">
        <v>0.5</v>
      </c>
    </row>
    <row r="2239" spans="2:5" ht="12.75" x14ac:dyDescent="0.2">
      <c r="B2239" s="179" t="s">
        <v>2603</v>
      </c>
      <c r="C2239" s="180" t="s">
        <v>2593</v>
      </c>
      <c r="D2239" s="179" t="s">
        <v>216</v>
      </c>
      <c r="E2239" s="181">
        <v>0.5</v>
      </c>
    </row>
    <row r="2240" spans="2:5" ht="12.75" x14ac:dyDescent="0.2">
      <c r="B2240" s="179" t="s">
        <v>2604</v>
      </c>
      <c r="C2240" s="180" t="s">
        <v>2593</v>
      </c>
      <c r="D2240" s="179" t="s">
        <v>216</v>
      </c>
      <c r="E2240" s="181">
        <v>0.5</v>
      </c>
    </row>
    <row r="2241" spans="2:5" ht="12.75" x14ac:dyDescent="0.2">
      <c r="B2241" s="179" t="s">
        <v>2605</v>
      </c>
      <c r="C2241" s="180" t="s">
        <v>2593</v>
      </c>
      <c r="D2241" s="179" t="s">
        <v>216</v>
      </c>
      <c r="E2241" s="181">
        <v>0.5</v>
      </c>
    </row>
    <row r="2242" spans="2:5" ht="12.75" x14ac:dyDescent="0.2">
      <c r="B2242" s="179" t="s">
        <v>2606</v>
      </c>
      <c r="C2242" s="180" t="s">
        <v>2593</v>
      </c>
      <c r="D2242" s="179" t="s">
        <v>216</v>
      </c>
      <c r="E2242" s="181">
        <v>0.5</v>
      </c>
    </row>
    <row r="2243" spans="2:5" ht="12.75" x14ac:dyDescent="0.2">
      <c r="B2243" s="179" t="s">
        <v>2607</v>
      </c>
      <c r="C2243" s="180" t="s">
        <v>2593</v>
      </c>
      <c r="D2243" s="179" t="s">
        <v>216</v>
      </c>
      <c r="E2243" s="181">
        <v>0.5</v>
      </c>
    </row>
    <row r="2244" spans="2:5" ht="12.75" x14ac:dyDescent="0.2">
      <c r="B2244" s="179" t="s">
        <v>2608</v>
      </c>
      <c r="C2244" s="180" t="s">
        <v>2593</v>
      </c>
      <c r="D2244" s="179" t="s">
        <v>216</v>
      </c>
      <c r="E2244" s="181">
        <v>0.5</v>
      </c>
    </row>
    <row r="2245" spans="2:5" ht="12.75" x14ac:dyDescent="0.2">
      <c r="B2245" s="179" t="s">
        <v>2609</v>
      </c>
      <c r="C2245" s="180" t="s">
        <v>2593</v>
      </c>
      <c r="D2245" s="179" t="s">
        <v>216</v>
      </c>
      <c r="E2245" s="181">
        <v>0.5</v>
      </c>
    </row>
    <row r="2246" spans="2:5" ht="12.75" x14ac:dyDescent="0.2">
      <c r="B2246" s="179" t="s">
        <v>2610</v>
      </c>
      <c r="C2246" s="180" t="s">
        <v>2593</v>
      </c>
      <c r="D2246" s="179" t="s">
        <v>214</v>
      </c>
      <c r="E2246" s="181">
        <v>0.5</v>
      </c>
    </row>
    <row r="2247" spans="2:5" ht="12.75" x14ac:dyDescent="0.2">
      <c r="B2247" s="179" t="s">
        <v>2611</v>
      </c>
      <c r="C2247" s="180" t="s">
        <v>2593</v>
      </c>
      <c r="D2247" s="179" t="s">
        <v>214</v>
      </c>
      <c r="E2247" s="181">
        <v>0.5</v>
      </c>
    </row>
    <row r="2248" spans="2:5" ht="12.75" x14ac:dyDescent="0.2">
      <c r="B2248" s="179" t="s">
        <v>2612</v>
      </c>
      <c r="C2248" s="180" t="s">
        <v>2593</v>
      </c>
      <c r="D2248" s="179" t="s">
        <v>216</v>
      </c>
      <c r="E2248" s="181">
        <v>0.5</v>
      </c>
    </row>
    <row r="2249" spans="2:5" ht="12.75" x14ac:dyDescent="0.2">
      <c r="B2249" s="179" t="s">
        <v>2613</v>
      </c>
      <c r="C2249" s="180" t="s">
        <v>2593</v>
      </c>
      <c r="D2249" s="179" t="s">
        <v>216</v>
      </c>
      <c r="E2249" s="181">
        <v>0.5</v>
      </c>
    </row>
    <row r="2250" spans="2:5" ht="12.75" x14ac:dyDescent="0.2">
      <c r="B2250" s="179" t="s">
        <v>2614</v>
      </c>
      <c r="C2250" s="180" t="s">
        <v>2593</v>
      </c>
      <c r="D2250" s="179" t="s">
        <v>216</v>
      </c>
      <c r="E2250" s="181">
        <v>0.5</v>
      </c>
    </row>
    <row r="2251" spans="2:5" ht="12.75" x14ac:dyDescent="0.2">
      <c r="B2251" s="179" t="s">
        <v>2615</v>
      </c>
      <c r="C2251" s="180" t="s">
        <v>2593</v>
      </c>
      <c r="D2251" s="179" t="s">
        <v>216</v>
      </c>
      <c r="E2251" s="181">
        <v>0.5</v>
      </c>
    </row>
    <row r="2252" spans="2:5" ht="12.75" x14ac:dyDescent="0.2">
      <c r="B2252" s="179" t="s">
        <v>2616</v>
      </c>
      <c r="C2252" s="180" t="s">
        <v>2593</v>
      </c>
      <c r="D2252" s="179" t="s">
        <v>216</v>
      </c>
      <c r="E2252" s="181">
        <v>0.5</v>
      </c>
    </row>
    <row r="2253" spans="2:5" ht="12.75" x14ac:dyDescent="0.2">
      <c r="B2253" s="179" t="s">
        <v>2617</v>
      </c>
      <c r="C2253" s="180" t="s">
        <v>2593</v>
      </c>
      <c r="D2253" s="179" t="s">
        <v>216</v>
      </c>
      <c r="E2253" s="181">
        <v>0.5</v>
      </c>
    </row>
    <row r="2254" spans="2:5" ht="12.75" x14ac:dyDescent="0.2">
      <c r="B2254" s="179" t="s">
        <v>2618</v>
      </c>
      <c r="C2254" s="180" t="s">
        <v>2593</v>
      </c>
      <c r="D2254" s="179" t="s">
        <v>216</v>
      </c>
      <c r="E2254" s="181">
        <v>0.5</v>
      </c>
    </row>
    <row r="2255" spans="2:5" ht="12.75" x14ac:dyDescent="0.2">
      <c r="B2255" s="179" t="s">
        <v>2619</v>
      </c>
      <c r="C2255" s="180" t="s">
        <v>2620</v>
      </c>
      <c r="D2255" s="179" t="s">
        <v>214</v>
      </c>
      <c r="E2255" s="181">
        <v>0.5</v>
      </c>
    </row>
    <row r="2256" spans="2:5" ht="12.75" x14ac:dyDescent="0.2">
      <c r="B2256" s="179" t="s">
        <v>2621</v>
      </c>
      <c r="C2256" s="180" t="s">
        <v>2620</v>
      </c>
      <c r="D2256" s="179" t="s">
        <v>216</v>
      </c>
      <c r="E2256" s="181">
        <v>0.5</v>
      </c>
    </row>
    <row r="2257" spans="2:5" ht="12.75" x14ac:dyDescent="0.2">
      <c r="B2257" s="179" t="s">
        <v>2622</v>
      </c>
      <c r="C2257" s="180" t="s">
        <v>2620</v>
      </c>
      <c r="D2257" s="179" t="s">
        <v>216</v>
      </c>
      <c r="E2257" s="181">
        <v>0.5</v>
      </c>
    </row>
    <row r="2258" spans="2:5" ht="12.75" x14ac:dyDescent="0.2">
      <c r="B2258" s="179" t="s">
        <v>2623</v>
      </c>
      <c r="C2258" s="180" t="s">
        <v>2624</v>
      </c>
      <c r="D2258" s="179" t="s">
        <v>214</v>
      </c>
      <c r="E2258" s="181">
        <v>0.5</v>
      </c>
    </row>
    <row r="2259" spans="2:5" ht="12.75" x14ac:dyDescent="0.2">
      <c r="B2259" s="179" t="s">
        <v>2625</v>
      </c>
      <c r="C2259" s="180" t="s">
        <v>2624</v>
      </c>
      <c r="D2259" s="179" t="s">
        <v>216</v>
      </c>
      <c r="E2259" s="181">
        <v>0.5</v>
      </c>
    </row>
    <row r="2260" spans="2:5" ht="12.75" x14ac:dyDescent="0.2">
      <c r="B2260" s="179" t="s">
        <v>2626</v>
      </c>
      <c r="C2260" s="180" t="s">
        <v>2624</v>
      </c>
      <c r="D2260" s="179" t="s">
        <v>216</v>
      </c>
      <c r="E2260" s="181">
        <v>0.5</v>
      </c>
    </row>
    <row r="2261" spans="2:5" ht="12.75" x14ac:dyDescent="0.2">
      <c r="B2261" s="179" t="s">
        <v>2627</v>
      </c>
      <c r="C2261" s="180" t="s">
        <v>2624</v>
      </c>
      <c r="D2261" s="179" t="s">
        <v>216</v>
      </c>
      <c r="E2261" s="181">
        <v>0.5</v>
      </c>
    </row>
    <row r="2262" spans="2:5" ht="12.75" x14ac:dyDescent="0.2">
      <c r="B2262" s="179" t="s">
        <v>2628</v>
      </c>
      <c r="C2262" s="180" t="s">
        <v>2624</v>
      </c>
      <c r="D2262" s="179" t="s">
        <v>216</v>
      </c>
      <c r="E2262" s="181">
        <v>0.5</v>
      </c>
    </row>
    <row r="2263" spans="2:5" ht="12.75" x14ac:dyDescent="0.2">
      <c r="B2263" s="179" t="s">
        <v>2629</v>
      </c>
      <c r="C2263" s="180" t="s">
        <v>2630</v>
      </c>
      <c r="D2263" s="179" t="s">
        <v>214</v>
      </c>
      <c r="E2263" s="181">
        <v>2</v>
      </c>
    </row>
    <row r="2264" spans="2:5" ht="12.75" x14ac:dyDescent="0.2">
      <c r="B2264" s="179" t="s">
        <v>2631</v>
      </c>
      <c r="C2264" s="180" t="s">
        <v>2630</v>
      </c>
      <c r="D2264" s="179" t="s">
        <v>216</v>
      </c>
      <c r="E2264" s="181">
        <v>2</v>
      </c>
    </row>
    <row r="2265" spans="2:5" ht="12.75" x14ac:dyDescent="0.2">
      <c r="B2265" s="179" t="s">
        <v>2632</v>
      </c>
      <c r="C2265" s="180" t="s">
        <v>2630</v>
      </c>
      <c r="D2265" s="179" t="s">
        <v>216</v>
      </c>
      <c r="E2265" s="181">
        <v>2</v>
      </c>
    </row>
    <row r="2266" spans="2:5" ht="12.75" x14ac:dyDescent="0.2">
      <c r="B2266" s="179" t="s">
        <v>2633</v>
      </c>
      <c r="C2266" s="180" t="s">
        <v>2630</v>
      </c>
      <c r="D2266" s="179" t="s">
        <v>216</v>
      </c>
      <c r="E2266" s="181">
        <v>2</v>
      </c>
    </row>
    <row r="2267" spans="2:5" ht="12.75" x14ac:dyDescent="0.2">
      <c r="B2267" s="179" t="s">
        <v>2634</v>
      </c>
      <c r="C2267" s="180" t="s">
        <v>2630</v>
      </c>
      <c r="D2267" s="179" t="s">
        <v>216</v>
      </c>
      <c r="E2267" s="181">
        <v>2</v>
      </c>
    </row>
    <row r="2268" spans="2:5" ht="12.75" x14ac:dyDescent="0.2">
      <c r="B2268" s="179" t="s">
        <v>2635</v>
      </c>
      <c r="C2268" s="180" t="s">
        <v>2630</v>
      </c>
      <c r="D2268" s="179" t="s">
        <v>216</v>
      </c>
      <c r="E2268" s="181">
        <v>2</v>
      </c>
    </row>
    <row r="2269" spans="2:5" ht="12.75" x14ac:dyDescent="0.2">
      <c r="B2269" s="179" t="s">
        <v>2636</v>
      </c>
      <c r="C2269" s="180" t="s">
        <v>2630</v>
      </c>
      <c r="D2269" s="179" t="s">
        <v>216</v>
      </c>
      <c r="E2269" s="181">
        <v>2</v>
      </c>
    </row>
    <row r="2270" spans="2:5" ht="12.75" x14ac:dyDescent="0.2">
      <c r="B2270" s="179" t="s">
        <v>2637</v>
      </c>
      <c r="C2270" s="180" t="s">
        <v>2638</v>
      </c>
      <c r="D2270" s="179" t="s">
        <v>214</v>
      </c>
      <c r="E2270" s="181">
        <v>0.5</v>
      </c>
    </row>
    <row r="2271" spans="2:5" ht="12.75" x14ac:dyDescent="0.2">
      <c r="B2271" s="179" t="s">
        <v>2639</v>
      </c>
      <c r="C2271" s="180" t="s">
        <v>2638</v>
      </c>
      <c r="D2271" s="179" t="s">
        <v>214</v>
      </c>
      <c r="E2271" s="181">
        <v>0.5</v>
      </c>
    </row>
    <row r="2272" spans="2:5" ht="12.75" x14ac:dyDescent="0.2">
      <c r="B2272" s="179" t="s">
        <v>2640</v>
      </c>
      <c r="C2272" s="180" t="s">
        <v>2638</v>
      </c>
      <c r="D2272" s="179" t="s">
        <v>214</v>
      </c>
      <c r="E2272" s="181">
        <v>0.5</v>
      </c>
    </row>
    <row r="2273" spans="2:5" ht="12.75" x14ac:dyDescent="0.2">
      <c r="B2273" s="179" t="s">
        <v>2641</v>
      </c>
      <c r="C2273" s="180" t="s">
        <v>2638</v>
      </c>
      <c r="D2273" s="179" t="s">
        <v>214</v>
      </c>
      <c r="E2273" s="181">
        <v>0.5</v>
      </c>
    </row>
    <row r="2274" spans="2:5" ht="12.75" x14ac:dyDescent="0.2">
      <c r="B2274" s="179" t="s">
        <v>2642</v>
      </c>
      <c r="C2274" s="180" t="s">
        <v>2638</v>
      </c>
      <c r="D2274" s="179" t="s">
        <v>214</v>
      </c>
      <c r="E2274" s="181">
        <v>0.5</v>
      </c>
    </row>
    <row r="2275" spans="2:5" ht="12.75" x14ac:dyDescent="0.2">
      <c r="B2275" s="179" t="s">
        <v>2643</v>
      </c>
      <c r="C2275" s="180" t="s">
        <v>2638</v>
      </c>
      <c r="D2275" s="179" t="s">
        <v>214</v>
      </c>
      <c r="E2275" s="181">
        <v>0.5</v>
      </c>
    </row>
    <row r="2276" spans="2:5" ht="12.75" x14ac:dyDescent="0.2">
      <c r="B2276" s="179" t="s">
        <v>2644</v>
      </c>
      <c r="C2276" s="180" t="s">
        <v>2638</v>
      </c>
      <c r="D2276" s="179" t="s">
        <v>214</v>
      </c>
      <c r="E2276" s="181">
        <v>0.5</v>
      </c>
    </row>
    <row r="2277" spans="2:5" ht="12.75" x14ac:dyDescent="0.2">
      <c r="B2277" s="179" t="s">
        <v>2645</v>
      </c>
      <c r="C2277" s="180" t="s">
        <v>2638</v>
      </c>
      <c r="D2277" s="179" t="s">
        <v>214</v>
      </c>
      <c r="E2277" s="181">
        <v>0.5</v>
      </c>
    </row>
    <row r="2278" spans="2:5" ht="12.75" x14ac:dyDescent="0.2">
      <c r="B2278" s="179" t="s">
        <v>2646</v>
      </c>
      <c r="C2278" s="180" t="s">
        <v>2638</v>
      </c>
      <c r="D2278" s="179" t="s">
        <v>214</v>
      </c>
      <c r="E2278" s="181">
        <v>0.5</v>
      </c>
    </row>
    <row r="2279" spans="2:5" ht="12.75" x14ac:dyDescent="0.2">
      <c r="B2279" s="179" t="s">
        <v>2647</v>
      </c>
      <c r="C2279" s="180" t="s">
        <v>2638</v>
      </c>
      <c r="D2279" s="179" t="s">
        <v>214</v>
      </c>
      <c r="E2279" s="181">
        <v>0.5</v>
      </c>
    </row>
    <row r="2280" spans="2:5" ht="12.75" x14ac:dyDescent="0.2">
      <c r="B2280" s="179" t="s">
        <v>2648</v>
      </c>
      <c r="C2280" s="180" t="s">
        <v>2638</v>
      </c>
      <c r="D2280" s="179" t="s">
        <v>214</v>
      </c>
      <c r="E2280" s="181">
        <v>0.5</v>
      </c>
    </row>
    <row r="2281" spans="2:5" ht="12.75" x14ac:dyDescent="0.2">
      <c r="B2281" s="179" t="s">
        <v>2649</v>
      </c>
      <c r="C2281" s="180" t="s">
        <v>2638</v>
      </c>
      <c r="D2281" s="179" t="s">
        <v>214</v>
      </c>
      <c r="E2281" s="181">
        <v>0.5</v>
      </c>
    </row>
    <row r="2282" spans="2:5" ht="12.75" x14ac:dyDescent="0.2">
      <c r="B2282" s="179" t="s">
        <v>2650</v>
      </c>
      <c r="C2282" s="180" t="s">
        <v>2651</v>
      </c>
      <c r="D2282" s="179" t="s">
        <v>216</v>
      </c>
      <c r="E2282" s="181">
        <v>0.5</v>
      </c>
    </row>
    <row r="2283" spans="2:5" ht="12.75" x14ac:dyDescent="0.2">
      <c r="B2283" s="179" t="s">
        <v>2652</v>
      </c>
      <c r="C2283" s="180" t="s">
        <v>2651</v>
      </c>
      <c r="D2283" s="179" t="s">
        <v>216</v>
      </c>
      <c r="E2283" s="181">
        <v>0.5</v>
      </c>
    </row>
    <row r="2284" spans="2:5" ht="12.75" x14ac:dyDescent="0.2">
      <c r="B2284" s="179" t="s">
        <v>2653</v>
      </c>
      <c r="C2284" s="180" t="s">
        <v>2654</v>
      </c>
      <c r="D2284" s="179" t="s">
        <v>214</v>
      </c>
      <c r="E2284" s="181">
        <v>0.1</v>
      </c>
    </row>
    <row r="2285" spans="2:5" ht="12.75" x14ac:dyDescent="0.2">
      <c r="B2285" s="179" t="s">
        <v>2655</v>
      </c>
      <c r="C2285" s="180" t="s">
        <v>2656</v>
      </c>
      <c r="D2285" s="179" t="s">
        <v>214</v>
      </c>
      <c r="E2285" s="181">
        <v>0.1</v>
      </c>
    </row>
    <row r="2286" spans="2:5" ht="12.75" x14ac:dyDescent="0.2">
      <c r="B2286" s="179" t="s">
        <v>2657</v>
      </c>
      <c r="C2286" s="180" t="s">
        <v>2658</v>
      </c>
      <c r="D2286" s="179" t="s">
        <v>214</v>
      </c>
      <c r="E2286" s="181">
        <v>0.5</v>
      </c>
    </row>
    <row r="2287" spans="2:5" ht="12.75" x14ac:dyDescent="0.2">
      <c r="B2287" s="179" t="s">
        <v>2659</v>
      </c>
      <c r="C2287" s="180" t="s">
        <v>2658</v>
      </c>
      <c r="D2287" s="179" t="s">
        <v>216</v>
      </c>
      <c r="E2287" s="181">
        <v>0.5</v>
      </c>
    </row>
    <row r="2288" spans="2:5" ht="12.75" x14ac:dyDescent="0.2">
      <c r="B2288" s="179" t="s">
        <v>2660</v>
      </c>
      <c r="C2288" s="180" t="s">
        <v>2658</v>
      </c>
      <c r="D2288" s="179" t="s">
        <v>216</v>
      </c>
      <c r="E2288" s="181">
        <v>0.5</v>
      </c>
    </row>
    <row r="2289" spans="2:5" ht="12.75" x14ac:dyDescent="0.2">
      <c r="B2289" s="179" t="s">
        <v>2661</v>
      </c>
      <c r="C2289" s="180" t="s">
        <v>2658</v>
      </c>
      <c r="D2289" s="179" t="s">
        <v>216</v>
      </c>
      <c r="E2289" s="181">
        <v>0.5</v>
      </c>
    </row>
    <row r="2290" spans="2:5" ht="12.75" x14ac:dyDescent="0.2">
      <c r="B2290" s="179" t="s">
        <v>2662</v>
      </c>
      <c r="C2290" s="180" t="s">
        <v>2658</v>
      </c>
      <c r="D2290" s="179" t="s">
        <v>216</v>
      </c>
      <c r="E2290" s="181">
        <v>0.5</v>
      </c>
    </row>
    <row r="2291" spans="2:5" ht="12.75" x14ac:dyDescent="0.2">
      <c r="B2291" s="179" t="s">
        <v>2663</v>
      </c>
      <c r="C2291" s="180" t="s">
        <v>2664</v>
      </c>
      <c r="D2291" s="179" t="s">
        <v>214</v>
      </c>
      <c r="E2291" s="181">
        <v>0.5</v>
      </c>
    </row>
    <row r="2292" spans="2:5" ht="12.75" x14ac:dyDescent="0.2">
      <c r="B2292" s="179" t="s">
        <v>2665</v>
      </c>
      <c r="C2292" s="180" t="s">
        <v>2664</v>
      </c>
      <c r="D2292" s="179" t="s">
        <v>216</v>
      </c>
      <c r="E2292" s="181">
        <v>0.5</v>
      </c>
    </row>
    <row r="2293" spans="2:5" ht="12.75" x14ac:dyDescent="0.2">
      <c r="B2293" s="179" t="s">
        <v>2666</v>
      </c>
      <c r="C2293" s="180" t="s">
        <v>2664</v>
      </c>
      <c r="D2293" s="179" t="s">
        <v>216</v>
      </c>
      <c r="E2293" s="181">
        <v>0.5</v>
      </c>
    </row>
    <row r="2294" spans="2:5" ht="12.75" x14ac:dyDescent="0.2">
      <c r="B2294" s="179" t="s">
        <v>2667</v>
      </c>
      <c r="C2294" s="180" t="s">
        <v>2664</v>
      </c>
      <c r="D2294" s="179" t="s">
        <v>216</v>
      </c>
      <c r="E2294" s="181">
        <v>0.5</v>
      </c>
    </row>
    <row r="2295" spans="2:5" ht="12.75" x14ac:dyDescent="0.2">
      <c r="B2295" s="179" t="s">
        <v>2668</v>
      </c>
      <c r="C2295" s="180" t="s">
        <v>2664</v>
      </c>
      <c r="D2295" s="179" t="s">
        <v>216</v>
      </c>
      <c r="E2295" s="181">
        <v>0.5</v>
      </c>
    </row>
    <row r="2296" spans="2:5" ht="12.75" x14ac:dyDescent="0.2">
      <c r="B2296" s="179" t="s">
        <v>2669</v>
      </c>
      <c r="C2296" s="180" t="s">
        <v>2664</v>
      </c>
      <c r="D2296" s="179" t="s">
        <v>216</v>
      </c>
      <c r="E2296" s="181">
        <v>0.5</v>
      </c>
    </row>
    <row r="2297" spans="2:5" ht="12.75" x14ac:dyDescent="0.2">
      <c r="B2297" s="179" t="s">
        <v>2670</v>
      </c>
      <c r="C2297" s="180" t="s">
        <v>2664</v>
      </c>
      <c r="D2297" s="179" t="s">
        <v>216</v>
      </c>
      <c r="E2297" s="181">
        <v>0.5</v>
      </c>
    </row>
    <row r="2298" spans="2:5" ht="12.75" x14ac:dyDescent="0.2">
      <c r="B2298" s="179" t="s">
        <v>2671</v>
      </c>
      <c r="C2298" s="180" t="s">
        <v>2664</v>
      </c>
      <c r="D2298" s="179" t="s">
        <v>216</v>
      </c>
      <c r="E2298" s="181">
        <v>0.5</v>
      </c>
    </row>
    <row r="2299" spans="2:5" ht="12.75" x14ac:dyDescent="0.2">
      <c r="B2299" s="179" t="s">
        <v>2672</v>
      </c>
      <c r="C2299" s="180" t="s">
        <v>2664</v>
      </c>
      <c r="D2299" s="179" t="s">
        <v>216</v>
      </c>
      <c r="E2299" s="181">
        <v>0.5</v>
      </c>
    </row>
    <row r="2300" spans="2:5" ht="12.75" x14ac:dyDescent="0.2">
      <c r="B2300" s="179" t="s">
        <v>2673</v>
      </c>
      <c r="C2300" s="180" t="s">
        <v>2664</v>
      </c>
      <c r="D2300" s="179" t="s">
        <v>216</v>
      </c>
      <c r="E2300" s="181">
        <v>0.5</v>
      </c>
    </row>
    <row r="2301" spans="2:5" ht="12.75" x14ac:dyDescent="0.2">
      <c r="B2301" s="179" t="s">
        <v>2674</v>
      </c>
      <c r="C2301" s="180" t="s">
        <v>2664</v>
      </c>
      <c r="D2301" s="179" t="s">
        <v>216</v>
      </c>
      <c r="E2301" s="181">
        <v>0.5</v>
      </c>
    </row>
    <row r="2302" spans="2:5" ht="12.75" x14ac:dyDescent="0.2">
      <c r="B2302" s="179" t="s">
        <v>2675</v>
      </c>
      <c r="C2302" s="180" t="s">
        <v>2664</v>
      </c>
      <c r="D2302" s="179" t="s">
        <v>216</v>
      </c>
      <c r="E2302" s="181">
        <v>0.5</v>
      </c>
    </row>
    <row r="2303" spans="2:5" ht="12.75" x14ac:dyDescent="0.2">
      <c r="B2303" s="179" t="s">
        <v>2676</v>
      </c>
      <c r="C2303" s="180" t="s">
        <v>2677</v>
      </c>
      <c r="D2303" s="179" t="s">
        <v>214</v>
      </c>
      <c r="E2303" s="181">
        <v>0.5</v>
      </c>
    </row>
    <row r="2304" spans="2:5" ht="12.75" x14ac:dyDescent="0.2">
      <c r="B2304" s="179" t="s">
        <v>2678</v>
      </c>
      <c r="C2304" s="180" t="s">
        <v>2679</v>
      </c>
      <c r="D2304" s="179" t="s">
        <v>216</v>
      </c>
      <c r="E2304" s="181">
        <v>0.5</v>
      </c>
    </row>
    <row r="2305" spans="2:5" ht="12.75" x14ac:dyDescent="0.2">
      <c r="B2305" s="179" t="s">
        <v>2680</v>
      </c>
      <c r="C2305" s="180" t="s">
        <v>2681</v>
      </c>
      <c r="D2305" s="179" t="s">
        <v>214</v>
      </c>
      <c r="E2305" s="181">
        <v>0.5</v>
      </c>
    </row>
    <row r="2306" spans="2:5" ht="12.75" x14ac:dyDescent="0.2">
      <c r="B2306" s="179" t="s">
        <v>2682</v>
      </c>
      <c r="C2306" s="180" t="s">
        <v>2681</v>
      </c>
      <c r="D2306" s="179" t="s">
        <v>216</v>
      </c>
      <c r="E2306" s="181">
        <v>0.5</v>
      </c>
    </row>
    <row r="2307" spans="2:5" ht="12.75" x14ac:dyDescent="0.2">
      <c r="B2307" s="179" t="s">
        <v>2683</v>
      </c>
      <c r="C2307" s="180" t="s">
        <v>2681</v>
      </c>
      <c r="D2307" s="179" t="s">
        <v>216</v>
      </c>
      <c r="E2307" s="181">
        <v>0.5</v>
      </c>
    </row>
    <row r="2308" spans="2:5" ht="12.75" x14ac:dyDescent="0.2">
      <c r="B2308" s="179" t="s">
        <v>2684</v>
      </c>
      <c r="C2308" s="180" t="s">
        <v>2681</v>
      </c>
      <c r="D2308" s="179" t="s">
        <v>216</v>
      </c>
      <c r="E2308" s="181">
        <v>0.5</v>
      </c>
    </row>
    <row r="2309" spans="2:5" ht="12.75" x14ac:dyDescent="0.2">
      <c r="B2309" s="179" t="s">
        <v>2685</v>
      </c>
      <c r="C2309" s="180" t="s">
        <v>2681</v>
      </c>
      <c r="D2309" s="179" t="s">
        <v>216</v>
      </c>
      <c r="E2309" s="181">
        <v>0.5</v>
      </c>
    </row>
    <row r="2310" spans="2:5" ht="12.75" x14ac:dyDescent="0.2">
      <c r="B2310" s="179" t="s">
        <v>2686</v>
      </c>
      <c r="C2310" s="180" t="s">
        <v>2681</v>
      </c>
      <c r="D2310" s="179" t="s">
        <v>216</v>
      </c>
      <c r="E2310" s="181">
        <v>0.5</v>
      </c>
    </row>
    <row r="2311" spans="2:5" ht="12.75" x14ac:dyDescent="0.2">
      <c r="B2311" s="179" t="s">
        <v>2687</v>
      </c>
      <c r="C2311" s="180" t="s">
        <v>2681</v>
      </c>
      <c r="D2311" s="179" t="s">
        <v>216</v>
      </c>
      <c r="E2311" s="181">
        <v>0.5</v>
      </c>
    </row>
    <row r="2312" spans="2:5" ht="12.75" x14ac:dyDescent="0.2">
      <c r="B2312" s="179" t="s">
        <v>2688</v>
      </c>
      <c r="C2312" s="180" t="s">
        <v>2681</v>
      </c>
      <c r="D2312" s="179" t="s">
        <v>216</v>
      </c>
      <c r="E2312" s="181">
        <v>0.5</v>
      </c>
    </row>
    <row r="2313" spans="2:5" ht="12.75" x14ac:dyDescent="0.2">
      <c r="B2313" s="179" t="s">
        <v>2689</v>
      </c>
      <c r="C2313" s="180" t="s">
        <v>2681</v>
      </c>
      <c r="D2313" s="179" t="s">
        <v>216</v>
      </c>
      <c r="E2313" s="181">
        <v>0.5</v>
      </c>
    </row>
    <row r="2314" spans="2:5" ht="12.75" x14ac:dyDescent="0.2">
      <c r="B2314" s="179" t="s">
        <v>2690</v>
      </c>
      <c r="C2314" s="180" t="s">
        <v>2681</v>
      </c>
      <c r="D2314" s="179" t="s">
        <v>216</v>
      </c>
      <c r="E2314" s="181">
        <v>0.5</v>
      </c>
    </row>
    <row r="2315" spans="2:5" ht="12.75" x14ac:dyDescent="0.2">
      <c r="B2315" s="179" t="s">
        <v>2691</v>
      </c>
      <c r="C2315" s="180" t="s">
        <v>2681</v>
      </c>
      <c r="D2315" s="179" t="s">
        <v>216</v>
      </c>
      <c r="E2315" s="181">
        <v>0.5</v>
      </c>
    </row>
    <row r="2316" spans="2:5" ht="12.75" x14ac:dyDescent="0.2">
      <c r="B2316" s="179" t="s">
        <v>2692</v>
      </c>
      <c r="C2316" s="180" t="s">
        <v>2681</v>
      </c>
      <c r="D2316" s="179" t="s">
        <v>216</v>
      </c>
      <c r="E2316" s="181">
        <v>0.5</v>
      </c>
    </row>
    <row r="2317" spans="2:5" ht="12.75" x14ac:dyDescent="0.2">
      <c r="B2317" s="179" t="s">
        <v>2693</v>
      </c>
      <c r="C2317" s="180" t="s">
        <v>2681</v>
      </c>
      <c r="D2317" s="179" t="s">
        <v>216</v>
      </c>
      <c r="E2317" s="181">
        <v>0.5</v>
      </c>
    </row>
    <row r="2318" spans="2:5" ht="12.75" x14ac:dyDescent="0.2">
      <c r="B2318" s="179" t="s">
        <v>2694</v>
      </c>
      <c r="C2318" s="180" t="s">
        <v>2681</v>
      </c>
      <c r="D2318" s="179" t="s">
        <v>216</v>
      </c>
      <c r="E2318" s="181">
        <v>0.5</v>
      </c>
    </row>
    <row r="2319" spans="2:5" ht="12.75" x14ac:dyDescent="0.2">
      <c r="B2319" s="179" t="s">
        <v>2695</v>
      </c>
      <c r="C2319" s="180" t="s">
        <v>2681</v>
      </c>
      <c r="D2319" s="179" t="s">
        <v>216</v>
      </c>
      <c r="E2319" s="181">
        <v>0.5</v>
      </c>
    </row>
    <row r="2320" spans="2:5" ht="12.75" x14ac:dyDescent="0.2">
      <c r="B2320" s="179" t="s">
        <v>2696</v>
      </c>
      <c r="C2320" s="180" t="s">
        <v>2697</v>
      </c>
      <c r="D2320" s="179" t="s">
        <v>214</v>
      </c>
      <c r="E2320" s="181">
        <v>0.5</v>
      </c>
    </row>
    <row r="2321" spans="2:5" ht="12.75" x14ac:dyDescent="0.2">
      <c r="B2321" s="179" t="s">
        <v>2698</v>
      </c>
      <c r="C2321" s="180" t="s">
        <v>2699</v>
      </c>
      <c r="D2321" s="179" t="s">
        <v>216</v>
      </c>
      <c r="E2321" s="181">
        <v>0.5</v>
      </c>
    </row>
    <row r="2322" spans="2:5" ht="12.75" x14ac:dyDescent="0.2">
      <c r="B2322" s="179" t="s">
        <v>2700</v>
      </c>
      <c r="C2322" s="180" t="s">
        <v>2699</v>
      </c>
      <c r="D2322" s="179" t="s">
        <v>216</v>
      </c>
      <c r="E2322" s="181">
        <v>0.5</v>
      </c>
    </row>
    <row r="2323" spans="2:5" ht="12.75" x14ac:dyDescent="0.2">
      <c r="B2323" s="179" t="s">
        <v>2701</v>
      </c>
      <c r="C2323" s="180" t="s">
        <v>2699</v>
      </c>
      <c r="D2323" s="179" t="s">
        <v>216</v>
      </c>
      <c r="E2323" s="181">
        <v>0.5</v>
      </c>
    </row>
    <row r="2324" spans="2:5" ht="12.75" x14ac:dyDescent="0.2">
      <c r="B2324" s="179" t="s">
        <v>2702</v>
      </c>
      <c r="C2324" s="180" t="s">
        <v>2703</v>
      </c>
      <c r="D2324" s="179" t="s">
        <v>214</v>
      </c>
      <c r="E2324" s="181">
        <v>0.1</v>
      </c>
    </row>
    <row r="2325" spans="2:5" ht="12.75" x14ac:dyDescent="0.2">
      <c r="B2325" s="179" t="s">
        <v>2704</v>
      </c>
      <c r="C2325" s="180" t="s">
        <v>2703</v>
      </c>
      <c r="D2325" s="179" t="s">
        <v>214</v>
      </c>
      <c r="E2325" s="181">
        <v>0.1</v>
      </c>
    </row>
    <row r="2326" spans="2:5" ht="12.75" x14ac:dyDescent="0.2">
      <c r="B2326" s="179" t="s">
        <v>2705</v>
      </c>
      <c r="C2326" s="180" t="s">
        <v>2703</v>
      </c>
      <c r="D2326" s="179" t="s">
        <v>216</v>
      </c>
      <c r="E2326" s="181">
        <v>0.5</v>
      </c>
    </row>
    <row r="2327" spans="2:5" ht="12.75" x14ac:dyDescent="0.2">
      <c r="B2327" s="179" t="s">
        <v>2706</v>
      </c>
      <c r="C2327" s="180" t="s">
        <v>2703</v>
      </c>
      <c r="D2327" s="179" t="s">
        <v>216</v>
      </c>
      <c r="E2327" s="181">
        <v>0.5</v>
      </c>
    </row>
    <row r="2328" spans="2:5" ht="12.75" x14ac:dyDescent="0.2">
      <c r="B2328" s="179" t="s">
        <v>2707</v>
      </c>
      <c r="C2328" s="180" t="s">
        <v>2708</v>
      </c>
      <c r="D2328" s="179" t="s">
        <v>214</v>
      </c>
      <c r="E2328" s="181">
        <v>0.5</v>
      </c>
    </row>
    <row r="2329" spans="2:5" ht="12.75" x14ac:dyDescent="0.2">
      <c r="B2329" s="179" t="s">
        <v>2709</v>
      </c>
      <c r="C2329" s="180" t="s">
        <v>2708</v>
      </c>
      <c r="D2329" s="179" t="s">
        <v>216</v>
      </c>
      <c r="E2329" s="181">
        <v>0.5</v>
      </c>
    </row>
    <row r="2330" spans="2:5" ht="12.75" x14ac:dyDescent="0.2">
      <c r="B2330" s="179" t="s">
        <v>2710</v>
      </c>
      <c r="C2330" s="180" t="s">
        <v>2711</v>
      </c>
      <c r="D2330" s="179" t="s">
        <v>214</v>
      </c>
      <c r="E2330" s="181">
        <v>0.5</v>
      </c>
    </row>
    <row r="2331" spans="2:5" ht="12.75" x14ac:dyDescent="0.2">
      <c r="B2331" s="179" t="s">
        <v>2712</v>
      </c>
      <c r="C2331" s="180" t="s">
        <v>2713</v>
      </c>
      <c r="D2331" s="179" t="s">
        <v>216</v>
      </c>
      <c r="E2331" s="181">
        <v>0.5</v>
      </c>
    </row>
    <row r="2332" spans="2:5" ht="12.75" x14ac:dyDescent="0.2">
      <c r="B2332" s="179" t="s">
        <v>2714</v>
      </c>
      <c r="C2332" s="180" t="s">
        <v>2713</v>
      </c>
      <c r="D2332" s="179" t="s">
        <v>216</v>
      </c>
      <c r="E2332" s="181">
        <v>0.5</v>
      </c>
    </row>
    <row r="2333" spans="2:5" ht="12.75" x14ac:dyDescent="0.2">
      <c r="B2333" s="179" t="s">
        <v>2715</v>
      </c>
      <c r="C2333" s="180" t="s">
        <v>2713</v>
      </c>
      <c r="D2333" s="179" t="s">
        <v>216</v>
      </c>
      <c r="E2333" s="181">
        <v>0.5</v>
      </c>
    </row>
    <row r="2334" spans="2:5" ht="12.75" x14ac:dyDescent="0.2">
      <c r="B2334" s="179" t="s">
        <v>2716</v>
      </c>
      <c r="C2334" s="180" t="s">
        <v>2713</v>
      </c>
      <c r="D2334" s="179" t="s">
        <v>216</v>
      </c>
      <c r="E2334" s="181">
        <v>0.5</v>
      </c>
    </row>
    <row r="2335" spans="2:5" ht="12.75" x14ac:dyDescent="0.2">
      <c r="B2335" s="179" t="s">
        <v>2717</v>
      </c>
      <c r="C2335" s="180" t="s">
        <v>2713</v>
      </c>
      <c r="D2335" s="179" t="s">
        <v>216</v>
      </c>
      <c r="E2335" s="181">
        <v>0.5</v>
      </c>
    </row>
    <row r="2336" spans="2:5" ht="12.75" x14ac:dyDescent="0.2">
      <c r="B2336" s="179" t="s">
        <v>2718</v>
      </c>
      <c r="C2336" s="180" t="s">
        <v>2713</v>
      </c>
      <c r="D2336" s="179" t="s">
        <v>216</v>
      </c>
      <c r="E2336" s="181">
        <v>0.5</v>
      </c>
    </row>
    <row r="2337" spans="2:5" ht="12.75" x14ac:dyDescent="0.2">
      <c r="B2337" s="179" t="s">
        <v>2719</v>
      </c>
      <c r="C2337" s="180" t="s">
        <v>2713</v>
      </c>
      <c r="D2337" s="179" t="s">
        <v>216</v>
      </c>
      <c r="E2337" s="181">
        <v>0.5</v>
      </c>
    </row>
    <row r="2338" spans="2:5" ht="12.75" x14ac:dyDescent="0.2">
      <c r="B2338" s="179" t="s">
        <v>2720</v>
      </c>
      <c r="C2338" s="180" t="s">
        <v>2721</v>
      </c>
      <c r="D2338" s="179" t="s">
        <v>214</v>
      </c>
      <c r="E2338" s="181">
        <v>0.5</v>
      </c>
    </row>
    <row r="2339" spans="2:5" ht="12.75" x14ac:dyDescent="0.2">
      <c r="B2339" s="179" t="s">
        <v>2722</v>
      </c>
      <c r="C2339" s="180" t="s">
        <v>2721</v>
      </c>
      <c r="D2339" s="179" t="s">
        <v>216</v>
      </c>
      <c r="E2339" s="181">
        <v>0.5</v>
      </c>
    </row>
    <row r="2340" spans="2:5" ht="12.75" x14ac:dyDescent="0.2">
      <c r="B2340" s="179" t="s">
        <v>2723</v>
      </c>
      <c r="C2340" s="180" t="s">
        <v>2724</v>
      </c>
      <c r="D2340" s="179" t="s">
        <v>214</v>
      </c>
      <c r="E2340" s="181">
        <v>0.5</v>
      </c>
    </row>
    <row r="2341" spans="2:5" ht="12.75" x14ac:dyDescent="0.2">
      <c r="B2341" s="179" t="s">
        <v>2725</v>
      </c>
      <c r="C2341" s="180" t="s">
        <v>2724</v>
      </c>
      <c r="D2341" s="179" t="s">
        <v>216</v>
      </c>
      <c r="E2341" s="181">
        <v>0.5</v>
      </c>
    </row>
    <row r="2342" spans="2:5" ht="12.75" x14ac:dyDescent="0.2">
      <c r="B2342" s="179" t="s">
        <v>2726</v>
      </c>
      <c r="C2342" s="180" t="s">
        <v>2724</v>
      </c>
      <c r="D2342" s="179" t="s">
        <v>216</v>
      </c>
      <c r="E2342" s="181">
        <v>0.5</v>
      </c>
    </row>
    <row r="2343" spans="2:5" ht="12.75" x14ac:dyDescent="0.2">
      <c r="B2343" s="179" t="s">
        <v>2727</v>
      </c>
      <c r="C2343" s="180" t="s">
        <v>2724</v>
      </c>
      <c r="D2343" s="179" t="s">
        <v>216</v>
      </c>
      <c r="E2343" s="181">
        <v>0.5</v>
      </c>
    </row>
    <row r="2344" spans="2:5" ht="12.75" x14ac:dyDescent="0.2">
      <c r="B2344" s="179" t="s">
        <v>2728</v>
      </c>
      <c r="C2344" s="180" t="s">
        <v>2729</v>
      </c>
      <c r="D2344" s="179" t="s">
        <v>214</v>
      </c>
      <c r="E2344" s="181">
        <v>1</v>
      </c>
    </row>
    <row r="2345" spans="2:5" ht="12.75" x14ac:dyDescent="0.2">
      <c r="B2345" s="179" t="s">
        <v>2730</v>
      </c>
      <c r="C2345" s="180" t="s">
        <v>2729</v>
      </c>
      <c r="D2345" s="179" t="s">
        <v>216</v>
      </c>
      <c r="E2345" s="181">
        <v>1</v>
      </c>
    </row>
    <row r="2346" spans="2:5" ht="12.75" x14ac:dyDescent="0.2">
      <c r="B2346" s="179" t="s">
        <v>2731</v>
      </c>
      <c r="C2346" s="180" t="s">
        <v>2732</v>
      </c>
      <c r="D2346" s="179" t="s">
        <v>214</v>
      </c>
      <c r="E2346" s="181">
        <v>0.5</v>
      </c>
    </row>
    <row r="2347" spans="2:5" ht="12.75" x14ac:dyDescent="0.2">
      <c r="B2347" s="179" t="s">
        <v>2733</v>
      </c>
      <c r="C2347" s="180" t="s">
        <v>2734</v>
      </c>
      <c r="D2347" s="179" t="s">
        <v>214</v>
      </c>
      <c r="E2347" s="181">
        <v>1</v>
      </c>
    </row>
    <row r="2348" spans="2:5" ht="12.75" x14ac:dyDescent="0.2">
      <c r="B2348" s="179" t="s">
        <v>2735</v>
      </c>
      <c r="C2348" s="180" t="s">
        <v>2734</v>
      </c>
      <c r="D2348" s="179" t="s">
        <v>216</v>
      </c>
      <c r="E2348" s="181">
        <v>1</v>
      </c>
    </row>
    <row r="2349" spans="2:5" ht="12.75" x14ac:dyDescent="0.2">
      <c r="B2349" s="179" t="s">
        <v>2736</v>
      </c>
      <c r="C2349" s="180" t="s">
        <v>2737</v>
      </c>
      <c r="D2349" s="179" t="s">
        <v>216</v>
      </c>
      <c r="E2349" s="181">
        <v>0.5</v>
      </c>
    </row>
    <row r="2350" spans="2:5" ht="12.75" x14ac:dyDescent="0.2">
      <c r="B2350" s="179" t="s">
        <v>2738</v>
      </c>
      <c r="C2350" s="180" t="s">
        <v>2737</v>
      </c>
      <c r="D2350" s="179" t="s">
        <v>216</v>
      </c>
      <c r="E2350" s="181">
        <v>0.5</v>
      </c>
    </row>
    <row r="2351" spans="2:5" ht="12.75" x14ac:dyDescent="0.2">
      <c r="B2351" s="179" t="s">
        <v>2739</v>
      </c>
      <c r="C2351" s="180" t="s">
        <v>2737</v>
      </c>
      <c r="D2351" s="179" t="s">
        <v>216</v>
      </c>
      <c r="E2351" s="181">
        <v>0.5</v>
      </c>
    </row>
    <row r="2352" spans="2:5" ht="12.75" x14ac:dyDescent="0.2">
      <c r="B2352" s="179" t="s">
        <v>2740</v>
      </c>
      <c r="C2352" s="180" t="s">
        <v>2737</v>
      </c>
      <c r="D2352" s="179" t="s">
        <v>216</v>
      </c>
      <c r="E2352" s="181">
        <v>0.5</v>
      </c>
    </row>
    <row r="2353" spans="2:5" ht="12.75" x14ac:dyDescent="0.2">
      <c r="B2353" s="179" t="s">
        <v>2741</v>
      </c>
      <c r="C2353" s="180" t="s">
        <v>2737</v>
      </c>
      <c r="D2353" s="179" t="s">
        <v>216</v>
      </c>
      <c r="E2353" s="181">
        <v>0.5</v>
      </c>
    </row>
    <row r="2354" spans="2:5" ht="12.75" x14ac:dyDescent="0.2">
      <c r="B2354" s="179" t="s">
        <v>2742</v>
      </c>
      <c r="C2354" s="180" t="s">
        <v>2737</v>
      </c>
      <c r="D2354" s="179" t="s">
        <v>216</v>
      </c>
      <c r="E2354" s="181">
        <v>0.5</v>
      </c>
    </row>
    <row r="2355" spans="2:5" ht="12.75" x14ac:dyDescent="0.2">
      <c r="B2355" s="179" t="s">
        <v>2743</v>
      </c>
      <c r="C2355" s="180" t="s">
        <v>2737</v>
      </c>
      <c r="D2355" s="179" t="s">
        <v>216</v>
      </c>
      <c r="E2355" s="181">
        <v>0.5</v>
      </c>
    </row>
    <row r="2356" spans="2:5" ht="12.75" x14ac:dyDescent="0.2">
      <c r="B2356" s="179" t="s">
        <v>2744</v>
      </c>
      <c r="C2356" s="180" t="s">
        <v>2737</v>
      </c>
      <c r="D2356" s="179" t="s">
        <v>216</v>
      </c>
      <c r="E2356" s="181">
        <v>0.5</v>
      </c>
    </row>
    <row r="2357" spans="2:5" ht="12.75" x14ac:dyDescent="0.2">
      <c r="B2357" s="179" t="s">
        <v>2745</v>
      </c>
      <c r="C2357" s="180" t="s">
        <v>2737</v>
      </c>
      <c r="D2357" s="179" t="s">
        <v>216</v>
      </c>
      <c r="E2357" s="181">
        <v>0.5</v>
      </c>
    </row>
    <row r="2358" spans="2:5" ht="12.75" x14ac:dyDescent="0.2">
      <c r="B2358" s="179" t="s">
        <v>2746</v>
      </c>
      <c r="C2358" s="180" t="s">
        <v>2737</v>
      </c>
      <c r="D2358" s="179" t="s">
        <v>216</v>
      </c>
      <c r="E2358" s="181">
        <v>0.5</v>
      </c>
    </row>
    <row r="2359" spans="2:5" ht="12.75" x14ac:dyDescent="0.2">
      <c r="B2359" s="179" t="s">
        <v>2747</v>
      </c>
      <c r="C2359" s="180" t="s">
        <v>2737</v>
      </c>
      <c r="D2359" s="179" t="s">
        <v>216</v>
      </c>
      <c r="E2359" s="181">
        <v>0.5</v>
      </c>
    </row>
    <row r="2360" spans="2:5" ht="12.75" x14ac:dyDescent="0.2">
      <c r="B2360" s="179" t="s">
        <v>2748</v>
      </c>
      <c r="C2360" s="180" t="s">
        <v>2737</v>
      </c>
      <c r="D2360" s="179" t="s">
        <v>216</v>
      </c>
      <c r="E2360" s="181">
        <v>0.5</v>
      </c>
    </row>
    <row r="2361" spans="2:5" ht="12.75" x14ac:dyDescent="0.2">
      <c r="B2361" s="179" t="s">
        <v>2749</v>
      </c>
      <c r="C2361" s="180" t="s">
        <v>2737</v>
      </c>
      <c r="D2361" s="179" t="s">
        <v>216</v>
      </c>
      <c r="E2361" s="181">
        <v>0.5</v>
      </c>
    </row>
    <row r="2362" spans="2:5" ht="12.75" x14ac:dyDescent="0.2">
      <c r="B2362" s="179" t="s">
        <v>2750</v>
      </c>
      <c r="C2362" s="180" t="s">
        <v>2737</v>
      </c>
      <c r="D2362" s="179" t="s">
        <v>216</v>
      </c>
      <c r="E2362" s="181">
        <v>0.5</v>
      </c>
    </row>
    <row r="2363" spans="2:5" ht="12.75" x14ac:dyDescent="0.2">
      <c r="B2363" s="179" t="s">
        <v>2751</v>
      </c>
      <c r="C2363" s="180" t="s">
        <v>2737</v>
      </c>
      <c r="D2363" s="179" t="s">
        <v>216</v>
      </c>
      <c r="E2363" s="181">
        <v>0.5</v>
      </c>
    </row>
    <row r="2364" spans="2:5" ht="12.75" x14ac:dyDescent="0.2">
      <c r="B2364" s="179" t="s">
        <v>2752</v>
      </c>
      <c r="C2364" s="180" t="s">
        <v>2737</v>
      </c>
      <c r="D2364" s="179" t="s">
        <v>216</v>
      </c>
      <c r="E2364" s="181">
        <v>0.5</v>
      </c>
    </row>
    <row r="2365" spans="2:5" ht="12.75" x14ac:dyDescent="0.2">
      <c r="B2365" s="179" t="s">
        <v>2753</v>
      </c>
      <c r="C2365" s="180" t="s">
        <v>2737</v>
      </c>
      <c r="D2365" s="179" t="s">
        <v>216</v>
      </c>
      <c r="E2365" s="181">
        <v>0.5</v>
      </c>
    </row>
    <row r="2366" spans="2:5" ht="12.75" x14ac:dyDescent="0.2">
      <c r="B2366" s="179" t="s">
        <v>2754</v>
      </c>
      <c r="C2366" s="180" t="s">
        <v>2737</v>
      </c>
      <c r="D2366" s="179" t="s">
        <v>216</v>
      </c>
      <c r="E2366" s="181">
        <v>0.5</v>
      </c>
    </row>
    <row r="2367" spans="2:5" ht="12.75" x14ac:dyDescent="0.2">
      <c r="B2367" s="179" t="s">
        <v>2755</v>
      </c>
      <c r="C2367" s="180" t="s">
        <v>2737</v>
      </c>
      <c r="D2367" s="179" t="s">
        <v>216</v>
      </c>
      <c r="E2367" s="181">
        <v>0.5</v>
      </c>
    </row>
    <row r="2368" spans="2:5" ht="12.75" x14ac:dyDescent="0.2">
      <c r="B2368" s="179" t="s">
        <v>2756</v>
      </c>
      <c r="C2368" s="180" t="s">
        <v>2737</v>
      </c>
      <c r="D2368" s="179" t="s">
        <v>216</v>
      </c>
      <c r="E2368" s="181">
        <v>0.5</v>
      </c>
    </row>
    <row r="2369" spans="2:5" ht="12.75" x14ac:dyDescent="0.2">
      <c r="B2369" s="179" t="s">
        <v>2757</v>
      </c>
      <c r="C2369" s="180" t="s">
        <v>2737</v>
      </c>
      <c r="D2369" s="179" t="s">
        <v>216</v>
      </c>
      <c r="E2369" s="181">
        <v>0.5</v>
      </c>
    </row>
    <row r="2370" spans="2:5" ht="12.75" x14ac:dyDescent="0.2">
      <c r="B2370" s="179" t="s">
        <v>2758</v>
      </c>
      <c r="C2370" s="180" t="s">
        <v>2737</v>
      </c>
      <c r="D2370" s="179" t="s">
        <v>216</v>
      </c>
      <c r="E2370" s="181">
        <v>0.5</v>
      </c>
    </row>
    <row r="2371" spans="2:5" ht="12.75" x14ac:dyDescent="0.2">
      <c r="B2371" s="179" t="s">
        <v>2759</v>
      </c>
      <c r="C2371" s="180" t="s">
        <v>2737</v>
      </c>
      <c r="D2371" s="179" t="s">
        <v>216</v>
      </c>
      <c r="E2371" s="181">
        <v>0.5</v>
      </c>
    </row>
    <row r="2372" spans="2:5" ht="12.75" x14ac:dyDescent="0.2">
      <c r="B2372" s="179" t="s">
        <v>2760</v>
      </c>
      <c r="C2372" s="180" t="s">
        <v>2737</v>
      </c>
      <c r="D2372" s="179" t="s">
        <v>216</v>
      </c>
      <c r="E2372" s="181">
        <v>0.5</v>
      </c>
    </row>
    <row r="2373" spans="2:5" ht="12.75" x14ac:dyDescent="0.2">
      <c r="B2373" s="179" t="s">
        <v>2761</v>
      </c>
      <c r="C2373" s="180" t="s">
        <v>2737</v>
      </c>
      <c r="D2373" s="179" t="s">
        <v>216</v>
      </c>
      <c r="E2373" s="181">
        <v>0.5</v>
      </c>
    </row>
    <row r="2374" spans="2:5" ht="12.75" x14ac:dyDescent="0.2">
      <c r="B2374" s="179" t="s">
        <v>2762</v>
      </c>
      <c r="C2374" s="180" t="s">
        <v>2737</v>
      </c>
      <c r="D2374" s="179" t="s">
        <v>216</v>
      </c>
      <c r="E2374" s="181">
        <v>0.5</v>
      </c>
    </row>
    <row r="2375" spans="2:5" ht="12.75" x14ac:dyDescent="0.2">
      <c r="B2375" s="179" t="s">
        <v>2763</v>
      </c>
      <c r="C2375" s="180" t="s">
        <v>2737</v>
      </c>
      <c r="D2375" s="179" t="s">
        <v>216</v>
      </c>
      <c r="E2375" s="181">
        <v>0.5</v>
      </c>
    </row>
    <row r="2376" spans="2:5" ht="12.75" x14ac:dyDescent="0.2">
      <c r="B2376" s="179" t="s">
        <v>2764</v>
      </c>
      <c r="C2376" s="180" t="s">
        <v>2737</v>
      </c>
      <c r="D2376" s="179" t="s">
        <v>216</v>
      </c>
      <c r="E2376" s="181">
        <v>0.5</v>
      </c>
    </row>
    <row r="2377" spans="2:5" ht="12.75" x14ac:dyDescent="0.2">
      <c r="B2377" s="179" t="s">
        <v>2765</v>
      </c>
      <c r="C2377" s="180" t="s">
        <v>2737</v>
      </c>
      <c r="D2377" s="179" t="s">
        <v>216</v>
      </c>
      <c r="E2377" s="181">
        <v>0.5</v>
      </c>
    </row>
    <row r="2378" spans="2:5" ht="12.75" x14ac:dyDescent="0.2">
      <c r="B2378" s="179" t="s">
        <v>2766</v>
      </c>
      <c r="C2378" s="180" t="s">
        <v>2737</v>
      </c>
      <c r="D2378" s="179" t="s">
        <v>216</v>
      </c>
      <c r="E2378" s="181">
        <v>0.5</v>
      </c>
    </row>
    <row r="2379" spans="2:5" ht="12.75" x14ac:dyDescent="0.2">
      <c r="B2379" s="179" t="s">
        <v>2767</v>
      </c>
      <c r="C2379" s="180" t="s">
        <v>2737</v>
      </c>
      <c r="D2379" s="179" t="s">
        <v>216</v>
      </c>
      <c r="E2379" s="181">
        <v>0.5</v>
      </c>
    </row>
    <row r="2380" spans="2:5" ht="12.75" x14ac:dyDescent="0.2">
      <c r="B2380" s="179" t="s">
        <v>2768</v>
      </c>
      <c r="C2380" s="180" t="s">
        <v>2737</v>
      </c>
      <c r="D2380" s="179" t="s">
        <v>216</v>
      </c>
      <c r="E2380" s="181">
        <v>0.5</v>
      </c>
    </row>
    <row r="2381" spans="2:5" ht="12.75" x14ac:dyDescent="0.2">
      <c r="B2381" s="179" t="s">
        <v>2769</v>
      </c>
      <c r="C2381" s="180" t="s">
        <v>2737</v>
      </c>
      <c r="D2381" s="179" t="s">
        <v>216</v>
      </c>
      <c r="E2381" s="181">
        <v>0.5</v>
      </c>
    </row>
    <row r="2382" spans="2:5" ht="12.75" x14ac:dyDescent="0.2">
      <c r="B2382" s="179" t="s">
        <v>2770</v>
      </c>
      <c r="C2382" s="180" t="s">
        <v>2737</v>
      </c>
      <c r="D2382" s="179" t="s">
        <v>216</v>
      </c>
      <c r="E2382" s="181">
        <v>0.5</v>
      </c>
    </row>
    <row r="2383" spans="2:5" ht="12.75" x14ac:dyDescent="0.2">
      <c r="B2383" s="179" t="s">
        <v>2771</v>
      </c>
      <c r="C2383" s="180" t="s">
        <v>2737</v>
      </c>
      <c r="D2383" s="179" t="s">
        <v>216</v>
      </c>
      <c r="E2383" s="181">
        <v>0.5</v>
      </c>
    </row>
    <row r="2384" spans="2:5" ht="12.75" x14ac:dyDescent="0.2">
      <c r="B2384" s="179" t="s">
        <v>2772</v>
      </c>
      <c r="C2384" s="180" t="s">
        <v>2737</v>
      </c>
      <c r="D2384" s="179" t="s">
        <v>216</v>
      </c>
      <c r="E2384" s="181">
        <v>0.5</v>
      </c>
    </row>
    <row r="2385" spans="2:5" ht="12.75" x14ac:dyDescent="0.2">
      <c r="B2385" s="179" t="s">
        <v>2773</v>
      </c>
      <c r="C2385" s="180" t="s">
        <v>2737</v>
      </c>
      <c r="D2385" s="179" t="s">
        <v>216</v>
      </c>
      <c r="E2385" s="181">
        <v>0.5</v>
      </c>
    </row>
    <row r="2386" spans="2:5" ht="12.75" x14ac:dyDescent="0.2">
      <c r="B2386" s="179" t="s">
        <v>2774</v>
      </c>
      <c r="C2386" s="180" t="s">
        <v>2737</v>
      </c>
      <c r="D2386" s="179" t="s">
        <v>216</v>
      </c>
      <c r="E2386" s="181">
        <v>0.5</v>
      </c>
    </row>
    <row r="2387" spans="2:5" ht="12.75" x14ac:dyDescent="0.2">
      <c r="B2387" s="179" t="s">
        <v>2775</v>
      </c>
      <c r="C2387" s="180" t="s">
        <v>2737</v>
      </c>
      <c r="D2387" s="179" t="s">
        <v>216</v>
      </c>
      <c r="E2387" s="181">
        <v>0.5</v>
      </c>
    </row>
    <row r="2388" spans="2:5" ht="12.75" x14ac:dyDescent="0.2">
      <c r="B2388" s="179" t="s">
        <v>2776</v>
      </c>
      <c r="C2388" s="180" t="s">
        <v>2737</v>
      </c>
      <c r="D2388" s="179" t="s">
        <v>216</v>
      </c>
      <c r="E2388" s="181">
        <v>0.5</v>
      </c>
    </row>
    <row r="2389" spans="2:5" ht="12.75" x14ac:dyDescent="0.2">
      <c r="B2389" s="179" t="s">
        <v>2777</v>
      </c>
      <c r="C2389" s="180" t="s">
        <v>2737</v>
      </c>
      <c r="D2389" s="179" t="s">
        <v>216</v>
      </c>
      <c r="E2389" s="181">
        <v>0.5</v>
      </c>
    </row>
    <row r="2390" spans="2:5" ht="12.75" x14ac:dyDescent="0.2">
      <c r="B2390" s="179" t="s">
        <v>2778</v>
      </c>
      <c r="C2390" s="180" t="s">
        <v>2737</v>
      </c>
      <c r="D2390" s="179" t="s">
        <v>216</v>
      </c>
      <c r="E2390" s="181">
        <v>0.5</v>
      </c>
    </row>
    <row r="2391" spans="2:5" ht="12.75" x14ac:dyDescent="0.2">
      <c r="B2391" s="179" t="s">
        <v>2779</v>
      </c>
      <c r="C2391" s="180" t="s">
        <v>2737</v>
      </c>
      <c r="D2391" s="179" t="s">
        <v>216</v>
      </c>
      <c r="E2391" s="181">
        <v>0.5</v>
      </c>
    </row>
    <row r="2392" spans="2:5" ht="12.75" x14ac:dyDescent="0.2">
      <c r="B2392" s="179" t="s">
        <v>2780</v>
      </c>
      <c r="C2392" s="180" t="s">
        <v>2737</v>
      </c>
      <c r="D2392" s="179" t="s">
        <v>216</v>
      </c>
      <c r="E2392" s="181">
        <v>0.5</v>
      </c>
    </row>
    <row r="2393" spans="2:5" ht="12.75" x14ac:dyDescent="0.2">
      <c r="B2393" s="179" t="s">
        <v>2781</v>
      </c>
      <c r="C2393" s="180" t="s">
        <v>2737</v>
      </c>
      <c r="D2393" s="179" t="s">
        <v>216</v>
      </c>
      <c r="E2393" s="181">
        <v>0.5</v>
      </c>
    </row>
    <row r="2394" spans="2:5" ht="12.75" x14ac:dyDescent="0.2">
      <c r="B2394" s="179" t="s">
        <v>2782</v>
      </c>
      <c r="C2394" s="180" t="s">
        <v>2737</v>
      </c>
      <c r="D2394" s="179" t="s">
        <v>216</v>
      </c>
      <c r="E2394" s="181">
        <v>0.5</v>
      </c>
    </row>
    <row r="2395" spans="2:5" ht="12.75" x14ac:dyDescent="0.2">
      <c r="B2395" s="179" t="s">
        <v>2783</v>
      </c>
      <c r="C2395" s="180" t="s">
        <v>2737</v>
      </c>
      <c r="D2395" s="179" t="s">
        <v>216</v>
      </c>
      <c r="E2395" s="181">
        <v>0.5</v>
      </c>
    </row>
    <row r="2396" spans="2:5" ht="12.75" x14ac:dyDescent="0.2">
      <c r="B2396" s="179" t="s">
        <v>2784</v>
      </c>
      <c r="C2396" s="180" t="s">
        <v>2737</v>
      </c>
      <c r="D2396" s="179" t="s">
        <v>216</v>
      </c>
      <c r="E2396" s="181">
        <v>0.5</v>
      </c>
    </row>
    <row r="2397" spans="2:5" ht="12.75" x14ac:dyDescent="0.2">
      <c r="B2397" s="179" t="s">
        <v>2785</v>
      </c>
      <c r="C2397" s="180" t="s">
        <v>2737</v>
      </c>
      <c r="D2397" s="179" t="s">
        <v>216</v>
      </c>
      <c r="E2397" s="181">
        <v>0.5</v>
      </c>
    </row>
    <row r="2398" spans="2:5" ht="12.75" x14ac:dyDescent="0.2">
      <c r="B2398" s="179" t="s">
        <v>2786</v>
      </c>
      <c r="C2398" s="180" t="s">
        <v>2737</v>
      </c>
      <c r="D2398" s="179" t="s">
        <v>216</v>
      </c>
      <c r="E2398" s="181">
        <v>0.5</v>
      </c>
    </row>
    <row r="2399" spans="2:5" ht="12.75" x14ac:dyDescent="0.2">
      <c r="B2399" s="179" t="s">
        <v>2787</v>
      </c>
      <c r="C2399" s="180" t="s">
        <v>2737</v>
      </c>
      <c r="D2399" s="179" t="s">
        <v>216</v>
      </c>
      <c r="E2399" s="181">
        <v>0.5</v>
      </c>
    </row>
    <row r="2400" spans="2:5" ht="12.75" x14ac:dyDescent="0.2">
      <c r="B2400" s="179" t="s">
        <v>2788</v>
      </c>
      <c r="C2400" s="180" t="s">
        <v>2737</v>
      </c>
      <c r="D2400" s="179" t="s">
        <v>216</v>
      </c>
      <c r="E2400" s="181">
        <v>0.5</v>
      </c>
    </row>
    <row r="2401" spans="2:5" ht="12.75" x14ac:dyDescent="0.2">
      <c r="B2401" s="179" t="s">
        <v>2789</v>
      </c>
      <c r="C2401" s="180" t="s">
        <v>2737</v>
      </c>
      <c r="D2401" s="179" t="s">
        <v>216</v>
      </c>
      <c r="E2401" s="181">
        <v>0.5</v>
      </c>
    </row>
    <row r="2402" spans="2:5" ht="12.75" x14ac:dyDescent="0.2">
      <c r="B2402" s="179" t="s">
        <v>2790</v>
      </c>
      <c r="C2402" s="180" t="s">
        <v>2737</v>
      </c>
      <c r="D2402" s="179" t="s">
        <v>216</v>
      </c>
      <c r="E2402" s="181">
        <v>0.5</v>
      </c>
    </row>
    <row r="2403" spans="2:5" ht="12.75" x14ac:dyDescent="0.2">
      <c r="B2403" s="179" t="s">
        <v>2791</v>
      </c>
      <c r="C2403" s="180" t="s">
        <v>2737</v>
      </c>
      <c r="D2403" s="179" t="s">
        <v>216</v>
      </c>
      <c r="E2403" s="181">
        <v>0.5</v>
      </c>
    </row>
    <row r="2404" spans="2:5" ht="12.75" x14ac:dyDescent="0.2">
      <c r="B2404" s="179" t="s">
        <v>2792</v>
      </c>
      <c r="C2404" s="180" t="s">
        <v>2737</v>
      </c>
      <c r="D2404" s="179" t="s">
        <v>216</v>
      </c>
      <c r="E2404" s="181">
        <v>0.5</v>
      </c>
    </row>
    <row r="2405" spans="2:5" ht="12.75" x14ac:dyDescent="0.2">
      <c r="B2405" s="179" t="s">
        <v>2793</v>
      </c>
      <c r="C2405" s="180" t="s">
        <v>2737</v>
      </c>
      <c r="D2405" s="179" t="s">
        <v>216</v>
      </c>
      <c r="E2405" s="181">
        <v>0.5</v>
      </c>
    </row>
    <row r="2406" spans="2:5" ht="12.75" x14ac:dyDescent="0.2">
      <c r="B2406" s="179" t="s">
        <v>2794</v>
      </c>
      <c r="C2406" s="180" t="s">
        <v>2737</v>
      </c>
      <c r="D2406" s="179" t="s">
        <v>216</v>
      </c>
      <c r="E2406" s="181">
        <v>0.5</v>
      </c>
    </row>
    <row r="2407" spans="2:5" ht="12.75" x14ac:dyDescent="0.2">
      <c r="B2407" s="179" t="s">
        <v>2795</v>
      </c>
      <c r="C2407" s="180" t="s">
        <v>2737</v>
      </c>
      <c r="D2407" s="179" t="s">
        <v>216</v>
      </c>
      <c r="E2407" s="181">
        <v>0.5</v>
      </c>
    </row>
    <row r="2408" spans="2:5" ht="12.75" x14ac:dyDescent="0.2">
      <c r="B2408" s="179" t="s">
        <v>2796</v>
      </c>
      <c r="C2408" s="180" t="s">
        <v>2737</v>
      </c>
      <c r="D2408" s="179" t="s">
        <v>216</v>
      </c>
      <c r="E2408" s="181">
        <v>0.5</v>
      </c>
    </row>
    <row r="2409" spans="2:5" ht="12.75" x14ac:dyDescent="0.2">
      <c r="B2409" s="179" t="s">
        <v>2797</v>
      </c>
      <c r="C2409" s="180" t="s">
        <v>2798</v>
      </c>
      <c r="D2409" s="179" t="s">
        <v>214</v>
      </c>
      <c r="E2409" s="181">
        <v>1</v>
      </c>
    </row>
    <row r="2410" spans="2:5" ht="12.75" x14ac:dyDescent="0.2">
      <c r="B2410" s="179" t="s">
        <v>2799</v>
      </c>
      <c r="C2410" s="180" t="s">
        <v>2798</v>
      </c>
      <c r="D2410" s="179" t="s">
        <v>216</v>
      </c>
      <c r="E2410" s="181">
        <v>2</v>
      </c>
    </row>
    <row r="2411" spans="2:5" ht="12.75" x14ac:dyDescent="0.2">
      <c r="B2411" s="179" t="s">
        <v>2800</v>
      </c>
      <c r="C2411" s="180" t="s">
        <v>2798</v>
      </c>
      <c r="D2411" s="179" t="s">
        <v>216</v>
      </c>
      <c r="E2411" s="181">
        <v>2</v>
      </c>
    </row>
    <row r="2412" spans="2:5" ht="12.75" x14ac:dyDescent="0.2">
      <c r="B2412" s="179" t="s">
        <v>2801</v>
      </c>
      <c r="C2412" s="180" t="s">
        <v>2802</v>
      </c>
      <c r="D2412" s="179" t="s">
        <v>214</v>
      </c>
      <c r="E2412" s="181">
        <v>2</v>
      </c>
    </row>
    <row r="2413" spans="2:5" ht="12.75" x14ac:dyDescent="0.2">
      <c r="B2413" s="179" t="s">
        <v>2803</v>
      </c>
      <c r="C2413" s="180" t="s">
        <v>2802</v>
      </c>
      <c r="D2413" s="179" t="s">
        <v>216</v>
      </c>
      <c r="E2413" s="181">
        <v>2</v>
      </c>
    </row>
    <row r="2414" spans="2:5" ht="12.75" x14ac:dyDescent="0.2">
      <c r="B2414" s="179" t="s">
        <v>2804</v>
      </c>
      <c r="C2414" s="180" t="s">
        <v>2802</v>
      </c>
      <c r="D2414" s="179" t="s">
        <v>216</v>
      </c>
      <c r="E2414" s="181">
        <v>2</v>
      </c>
    </row>
    <row r="2415" spans="2:5" ht="12.75" x14ac:dyDescent="0.2">
      <c r="B2415" s="179" t="s">
        <v>2805</v>
      </c>
      <c r="C2415" s="180" t="s">
        <v>2802</v>
      </c>
      <c r="D2415" s="179" t="s">
        <v>216</v>
      </c>
      <c r="E2415" s="181">
        <v>2</v>
      </c>
    </row>
    <row r="2416" spans="2:5" ht="12.75" x14ac:dyDescent="0.2">
      <c r="B2416" s="179" t="s">
        <v>2806</v>
      </c>
      <c r="C2416" s="180" t="s">
        <v>2802</v>
      </c>
      <c r="D2416" s="179" t="s">
        <v>216</v>
      </c>
      <c r="E2416" s="181">
        <v>2</v>
      </c>
    </row>
    <row r="2417" spans="2:5" ht="12.75" x14ac:dyDescent="0.2">
      <c r="B2417" s="179" t="s">
        <v>2807</v>
      </c>
      <c r="C2417" s="180" t="s">
        <v>2802</v>
      </c>
      <c r="D2417" s="179" t="s">
        <v>216</v>
      </c>
      <c r="E2417" s="181">
        <v>2</v>
      </c>
    </row>
    <row r="2418" spans="2:5" ht="12.75" x14ac:dyDescent="0.2">
      <c r="B2418" s="179" t="s">
        <v>2808</v>
      </c>
      <c r="C2418" s="180" t="s">
        <v>2802</v>
      </c>
      <c r="D2418" s="179" t="s">
        <v>216</v>
      </c>
      <c r="E2418" s="181">
        <v>2</v>
      </c>
    </row>
    <row r="2419" spans="2:5" ht="12.75" x14ac:dyDescent="0.2">
      <c r="B2419" s="179" t="s">
        <v>2809</v>
      </c>
      <c r="C2419" s="180" t="s">
        <v>2802</v>
      </c>
      <c r="D2419" s="179" t="s">
        <v>216</v>
      </c>
      <c r="E2419" s="181">
        <v>2</v>
      </c>
    </row>
    <row r="2420" spans="2:5" ht="12.75" x14ac:dyDescent="0.2">
      <c r="B2420" s="179" t="s">
        <v>2810</v>
      </c>
      <c r="C2420" s="180" t="s">
        <v>2802</v>
      </c>
      <c r="D2420" s="179" t="s">
        <v>216</v>
      </c>
      <c r="E2420" s="181">
        <v>2</v>
      </c>
    </row>
    <row r="2421" spans="2:5" ht="12.75" x14ac:dyDescent="0.2">
      <c r="B2421" s="179" t="s">
        <v>2811</v>
      </c>
      <c r="C2421" s="180" t="s">
        <v>2802</v>
      </c>
      <c r="D2421" s="179" t="s">
        <v>216</v>
      </c>
      <c r="E2421" s="181">
        <v>2</v>
      </c>
    </row>
    <row r="2422" spans="2:5" ht="12.75" x14ac:dyDescent="0.2">
      <c r="B2422" s="179" t="s">
        <v>2812</v>
      </c>
      <c r="C2422" s="180" t="s">
        <v>2802</v>
      </c>
      <c r="D2422" s="179" t="s">
        <v>216</v>
      </c>
      <c r="E2422" s="181">
        <v>2</v>
      </c>
    </row>
    <row r="2423" spans="2:5" ht="12.75" x14ac:dyDescent="0.2">
      <c r="B2423" s="179" t="s">
        <v>2813</v>
      </c>
      <c r="C2423" s="180" t="s">
        <v>2802</v>
      </c>
      <c r="D2423" s="179" t="s">
        <v>216</v>
      </c>
      <c r="E2423" s="181">
        <v>2</v>
      </c>
    </row>
    <row r="2424" spans="2:5" ht="12.75" x14ac:dyDescent="0.2">
      <c r="B2424" s="179" t="s">
        <v>2814</v>
      </c>
      <c r="C2424" s="180" t="s">
        <v>2802</v>
      </c>
      <c r="D2424" s="179" t="s">
        <v>216</v>
      </c>
      <c r="E2424" s="181">
        <v>2</v>
      </c>
    </row>
    <row r="2425" spans="2:5" ht="12.75" x14ac:dyDescent="0.2">
      <c r="B2425" s="179" t="s">
        <v>2815</v>
      </c>
      <c r="C2425" s="180" t="s">
        <v>2802</v>
      </c>
      <c r="D2425" s="179" t="s">
        <v>216</v>
      </c>
      <c r="E2425" s="181">
        <v>2</v>
      </c>
    </row>
    <row r="2426" spans="2:5" ht="12.75" x14ac:dyDescent="0.2">
      <c r="B2426" s="179" t="s">
        <v>2816</v>
      </c>
      <c r="C2426" s="180" t="s">
        <v>2817</v>
      </c>
      <c r="D2426" s="179" t="s">
        <v>214</v>
      </c>
      <c r="E2426" s="181">
        <v>0.5</v>
      </c>
    </row>
    <row r="2427" spans="2:5" ht="12.75" x14ac:dyDescent="0.2">
      <c r="B2427" s="179" t="s">
        <v>2818</v>
      </c>
      <c r="C2427" s="180" t="s">
        <v>2817</v>
      </c>
      <c r="D2427" s="179" t="s">
        <v>216</v>
      </c>
      <c r="E2427" s="181">
        <v>0.5</v>
      </c>
    </row>
    <row r="2428" spans="2:5" ht="12.75" x14ac:dyDescent="0.2">
      <c r="B2428" s="179" t="s">
        <v>2819</v>
      </c>
      <c r="C2428" s="180" t="s">
        <v>2817</v>
      </c>
      <c r="D2428" s="179" t="s">
        <v>216</v>
      </c>
      <c r="E2428" s="181">
        <v>0.5</v>
      </c>
    </row>
    <row r="2429" spans="2:5" ht="12.75" x14ac:dyDescent="0.2">
      <c r="B2429" s="179" t="s">
        <v>2820</v>
      </c>
      <c r="C2429" s="180" t="s">
        <v>2821</v>
      </c>
      <c r="D2429" s="179" t="s">
        <v>214</v>
      </c>
      <c r="E2429" s="181">
        <v>0.5</v>
      </c>
    </row>
    <row r="2430" spans="2:5" ht="12.75" x14ac:dyDescent="0.2">
      <c r="B2430" s="179" t="s">
        <v>2822</v>
      </c>
      <c r="C2430" s="180" t="s">
        <v>2821</v>
      </c>
      <c r="D2430" s="179" t="s">
        <v>216</v>
      </c>
      <c r="E2430" s="181">
        <v>1</v>
      </c>
    </row>
    <row r="2431" spans="2:5" ht="12.75" x14ac:dyDescent="0.2">
      <c r="B2431" s="179" t="s">
        <v>2823</v>
      </c>
      <c r="C2431" s="180" t="s">
        <v>2821</v>
      </c>
      <c r="D2431" s="179" t="s">
        <v>216</v>
      </c>
      <c r="E2431" s="181">
        <v>1</v>
      </c>
    </row>
    <row r="2432" spans="2:5" ht="12.75" x14ac:dyDescent="0.2">
      <c r="B2432" s="179" t="s">
        <v>2824</v>
      </c>
      <c r="C2432" s="180" t="s">
        <v>2821</v>
      </c>
      <c r="D2432" s="179" t="s">
        <v>216</v>
      </c>
      <c r="E2432" s="181">
        <v>1</v>
      </c>
    </row>
    <row r="2433" spans="2:5" ht="12.75" x14ac:dyDescent="0.2">
      <c r="B2433" s="179" t="s">
        <v>2825</v>
      </c>
      <c r="C2433" s="180" t="s">
        <v>2821</v>
      </c>
      <c r="D2433" s="179" t="s">
        <v>216</v>
      </c>
      <c r="E2433" s="181">
        <v>1</v>
      </c>
    </row>
    <row r="2434" spans="2:5" ht="12.75" x14ac:dyDescent="0.2">
      <c r="B2434" s="179" t="s">
        <v>2826</v>
      </c>
      <c r="C2434" s="180" t="s">
        <v>2821</v>
      </c>
      <c r="D2434" s="179" t="s">
        <v>216</v>
      </c>
      <c r="E2434" s="181">
        <v>1</v>
      </c>
    </row>
    <row r="2435" spans="2:5" ht="12.75" x14ac:dyDescent="0.2">
      <c r="B2435" s="179" t="s">
        <v>2827</v>
      </c>
      <c r="C2435" s="180" t="s">
        <v>2821</v>
      </c>
      <c r="D2435" s="179" t="s">
        <v>216</v>
      </c>
      <c r="E2435" s="181">
        <v>1</v>
      </c>
    </row>
    <row r="2436" spans="2:5" ht="12.75" x14ac:dyDescent="0.2">
      <c r="B2436" s="179" t="s">
        <v>2828</v>
      </c>
      <c r="C2436" s="180" t="s">
        <v>2821</v>
      </c>
      <c r="D2436" s="179" t="s">
        <v>216</v>
      </c>
      <c r="E2436" s="181">
        <v>1</v>
      </c>
    </row>
    <row r="2437" spans="2:5" ht="12.75" x14ac:dyDescent="0.2">
      <c r="B2437" s="179" t="s">
        <v>2829</v>
      </c>
      <c r="C2437" s="180" t="s">
        <v>2821</v>
      </c>
      <c r="D2437" s="179" t="s">
        <v>216</v>
      </c>
      <c r="E2437" s="181">
        <v>1</v>
      </c>
    </row>
    <row r="2438" spans="2:5" ht="12.75" x14ac:dyDescent="0.2">
      <c r="B2438" s="179" t="s">
        <v>2830</v>
      </c>
      <c r="C2438" s="180" t="s">
        <v>2831</v>
      </c>
      <c r="D2438" s="179" t="s">
        <v>214</v>
      </c>
      <c r="E2438" s="181">
        <v>0.5</v>
      </c>
    </row>
    <row r="2439" spans="2:5" ht="12.75" x14ac:dyDescent="0.2">
      <c r="B2439" s="179" t="s">
        <v>2832</v>
      </c>
      <c r="C2439" s="180" t="s">
        <v>2833</v>
      </c>
      <c r="D2439" s="179" t="s">
        <v>214</v>
      </c>
      <c r="E2439" s="181">
        <v>1</v>
      </c>
    </row>
    <row r="2440" spans="2:5" ht="12.75" x14ac:dyDescent="0.2">
      <c r="B2440" s="179" t="s">
        <v>2834</v>
      </c>
      <c r="C2440" s="180" t="s">
        <v>2835</v>
      </c>
      <c r="D2440" s="179" t="s">
        <v>214</v>
      </c>
      <c r="E2440" s="181">
        <v>0.5</v>
      </c>
    </row>
    <row r="2441" spans="2:5" ht="12.75" x14ac:dyDescent="0.2">
      <c r="B2441" s="179" t="s">
        <v>2836</v>
      </c>
      <c r="C2441" s="180" t="s">
        <v>2835</v>
      </c>
      <c r="D2441" s="179" t="s">
        <v>216</v>
      </c>
      <c r="E2441" s="181">
        <v>0.5</v>
      </c>
    </row>
    <row r="2442" spans="2:5" ht="12.75" x14ac:dyDescent="0.2">
      <c r="B2442" s="179" t="s">
        <v>2837</v>
      </c>
      <c r="C2442" s="180" t="s">
        <v>2835</v>
      </c>
      <c r="D2442" s="179" t="s">
        <v>216</v>
      </c>
      <c r="E2442" s="181">
        <v>0.5</v>
      </c>
    </row>
    <row r="2443" spans="2:5" ht="12.75" x14ac:dyDescent="0.2">
      <c r="B2443" s="179" t="s">
        <v>2838</v>
      </c>
      <c r="C2443" s="180" t="s">
        <v>2835</v>
      </c>
      <c r="D2443" s="179" t="s">
        <v>216</v>
      </c>
      <c r="E2443" s="181">
        <v>0.5</v>
      </c>
    </row>
    <row r="2444" spans="2:5" ht="12.75" x14ac:dyDescent="0.2">
      <c r="B2444" s="179" t="s">
        <v>2839</v>
      </c>
      <c r="C2444" s="180" t="s">
        <v>2835</v>
      </c>
      <c r="D2444" s="179" t="s">
        <v>216</v>
      </c>
      <c r="E2444" s="181">
        <v>0.5</v>
      </c>
    </row>
    <row r="2445" spans="2:5" ht="12.75" x14ac:dyDescent="0.2">
      <c r="B2445" s="179" t="s">
        <v>2840</v>
      </c>
      <c r="C2445" s="180" t="s">
        <v>2835</v>
      </c>
      <c r="D2445" s="179" t="s">
        <v>216</v>
      </c>
      <c r="E2445" s="181">
        <v>0.5</v>
      </c>
    </row>
    <row r="2446" spans="2:5" ht="12.75" x14ac:dyDescent="0.2">
      <c r="B2446" s="179" t="s">
        <v>2841</v>
      </c>
      <c r="C2446" s="180" t="s">
        <v>2835</v>
      </c>
      <c r="D2446" s="179" t="s">
        <v>216</v>
      </c>
      <c r="E2446" s="181">
        <v>0.5</v>
      </c>
    </row>
    <row r="2447" spans="2:5" ht="12.75" x14ac:dyDescent="0.2">
      <c r="B2447" s="179" t="s">
        <v>2842</v>
      </c>
      <c r="C2447" s="180" t="s">
        <v>2835</v>
      </c>
      <c r="D2447" s="179" t="s">
        <v>216</v>
      </c>
      <c r="E2447" s="181">
        <v>0.5</v>
      </c>
    </row>
    <row r="2448" spans="2:5" ht="12.75" x14ac:dyDescent="0.2">
      <c r="B2448" s="179" t="s">
        <v>2843</v>
      </c>
      <c r="C2448" s="180" t="s">
        <v>2835</v>
      </c>
      <c r="D2448" s="179" t="s">
        <v>216</v>
      </c>
      <c r="E2448" s="181">
        <v>0.5</v>
      </c>
    </row>
    <row r="2449" spans="2:5" ht="12.75" x14ac:dyDescent="0.2">
      <c r="B2449" s="179" t="s">
        <v>2844</v>
      </c>
      <c r="C2449" s="180" t="s">
        <v>2835</v>
      </c>
      <c r="D2449" s="179" t="s">
        <v>216</v>
      </c>
      <c r="E2449" s="181">
        <v>0.5</v>
      </c>
    </row>
    <row r="2450" spans="2:5" ht="12.75" x14ac:dyDescent="0.2">
      <c r="B2450" s="179" t="s">
        <v>2845</v>
      </c>
      <c r="C2450" s="180" t="s">
        <v>2835</v>
      </c>
      <c r="D2450" s="179" t="s">
        <v>216</v>
      </c>
      <c r="E2450" s="181">
        <v>0.5</v>
      </c>
    </row>
    <row r="2451" spans="2:5" ht="12.75" x14ac:dyDescent="0.2">
      <c r="B2451" s="179" t="s">
        <v>2846</v>
      </c>
      <c r="C2451" s="180" t="s">
        <v>2835</v>
      </c>
      <c r="D2451" s="179" t="s">
        <v>216</v>
      </c>
      <c r="E2451" s="181">
        <v>0.5</v>
      </c>
    </row>
    <row r="2452" spans="2:5" ht="12.75" x14ac:dyDescent="0.2">
      <c r="B2452" s="179" t="s">
        <v>2847</v>
      </c>
      <c r="C2452" s="180" t="s">
        <v>2835</v>
      </c>
      <c r="D2452" s="179" t="s">
        <v>216</v>
      </c>
      <c r="E2452" s="181">
        <v>0.5</v>
      </c>
    </row>
    <row r="2453" spans="2:5" ht="12.75" x14ac:dyDescent="0.2">
      <c r="B2453" s="179" t="s">
        <v>2848</v>
      </c>
      <c r="C2453" s="180" t="s">
        <v>2849</v>
      </c>
      <c r="D2453" s="179" t="s">
        <v>214</v>
      </c>
      <c r="E2453" s="181">
        <v>1</v>
      </c>
    </row>
    <row r="2454" spans="2:5" ht="12.75" x14ac:dyDescent="0.2">
      <c r="B2454" s="179" t="s">
        <v>2850</v>
      </c>
      <c r="C2454" s="180" t="s">
        <v>2849</v>
      </c>
      <c r="D2454" s="179" t="s">
        <v>216</v>
      </c>
      <c r="E2454" s="181">
        <v>1</v>
      </c>
    </row>
    <row r="2455" spans="2:5" ht="12.75" x14ac:dyDescent="0.2">
      <c r="B2455" s="179" t="s">
        <v>2851</v>
      </c>
      <c r="C2455" s="180" t="s">
        <v>2849</v>
      </c>
      <c r="D2455" s="179" t="s">
        <v>216</v>
      </c>
      <c r="E2455" s="181">
        <v>1</v>
      </c>
    </row>
    <row r="2456" spans="2:5" ht="12.75" x14ac:dyDescent="0.2">
      <c r="B2456" s="179" t="s">
        <v>2852</v>
      </c>
      <c r="C2456" s="180" t="s">
        <v>2849</v>
      </c>
      <c r="D2456" s="179" t="s">
        <v>216</v>
      </c>
      <c r="E2456" s="181">
        <v>1</v>
      </c>
    </row>
    <row r="2457" spans="2:5" ht="12.75" x14ac:dyDescent="0.2">
      <c r="B2457" s="179" t="s">
        <v>2853</v>
      </c>
      <c r="C2457" s="180" t="s">
        <v>2849</v>
      </c>
      <c r="D2457" s="179" t="s">
        <v>216</v>
      </c>
      <c r="E2457" s="181">
        <v>1</v>
      </c>
    </row>
    <row r="2458" spans="2:5" ht="12.75" x14ac:dyDescent="0.2">
      <c r="B2458" s="179" t="s">
        <v>2854</v>
      </c>
      <c r="C2458" s="180" t="s">
        <v>2855</v>
      </c>
      <c r="D2458" s="179" t="s">
        <v>214</v>
      </c>
      <c r="E2458" s="181">
        <v>0.1</v>
      </c>
    </row>
    <row r="2459" spans="2:5" ht="12.75" x14ac:dyDescent="0.2">
      <c r="B2459" s="179" t="s">
        <v>2856</v>
      </c>
      <c r="C2459" s="180" t="s">
        <v>2855</v>
      </c>
      <c r="D2459" s="179" t="s">
        <v>216</v>
      </c>
      <c r="E2459" s="181">
        <v>0.1</v>
      </c>
    </row>
    <row r="2460" spans="2:5" ht="12.75" x14ac:dyDescent="0.2">
      <c r="B2460" s="179" t="s">
        <v>2857</v>
      </c>
      <c r="C2460" s="180" t="s">
        <v>2858</v>
      </c>
      <c r="D2460" s="179" t="s">
        <v>214</v>
      </c>
      <c r="E2460" s="181">
        <v>0.5</v>
      </c>
    </row>
    <row r="2461" spans="2:5" ht="12.75" x14ac:dyDescent="0.2">
      <c r="B2461" s="179" t="s">
        <v>2859</v>
      </c>
      <c r="C2461" s="180" t="s">
        <v>2860</v>
      </c>
      <c r="D2461" s="179" t="s">
        <v>216</v>
      </c>
      <c r="E2461" s="181">
        <v>0.5</v>
      </c>
    </row>
    <row r="2462" spans="2:5" ht="12.75" x14ac:dyDescent="0.2">
      <c r="B2462" s="179" t="s">
        <v>2861</v>
      </c>
      <c r="C2462" s="180" t="s">
        <v>2860</v>
      </c>
      <c r="D2462" s="179" t="s">
        <v>216</v>
      </c>
      <c r="E2462" s="181">
        <v>0.5</v>
      </c>
    </row>
    <row r="2463" spans="2:5" ht="12.75" x14ac:dyDescent="0.2">
      <c r="B2463" s="179" t="s">
        <v>2862</v>
      </c>
      <c r="C2463" s="180" t="s">
        <v>2860</v>
      </c>
      <c r="D2463" s="179" t="s">
        <v>216</v>
      </c>
      <c r="E2463" s="181">
        <v>0.5</v>
      </c>
    </row>
    <row r="2464" spans="2:5" ht="12.75" x14ac:dyDescent="0.2">
      <c r="B2464" s="179" t="s">
        <v>2863</v>
      </c>
      <c r="C2464" s="180" t="s">
        <v>2860</v>
      </c>
      <c r="D2464" s="179" t="s">
        <v>216</v>
      </c>
      <c r="E2464" s="181">
        <v>0.5</v>
      </c>
    </row>
    <row r="2465" spans="2:5" ht="12.75" x14ac:dyDescent="0.2">
      <c r="B2465" s="179" t="s">
        <v>2864</v>
      </c>
      <c r="C2465" s="180" t="s">
        <v>2860</v>
      </c>
      <c r="D2465" s="179" t="s">
        <v>216</v>
      </c>
      <c r="E2465" s="181">
        <v>0.5</v>
      </c>
    </row>
    <row r="2466" spans="2:5" ht="12.75" x14ac:dyDescent="0.2">
      <c r="B2466" s="179" t="s">
        <v>2865</v>
      </c>
      <c r="C2466" s="180" t="s">
        <v>2860</v>
      </c>
      <c r="D2466" s="179" t="s">
        <v>216</v>
      </c>
      <c r="E2466" s="181">
        <v>0.5</v>
      </c>
    </row>
    <row r="2467" spans="2:5" ht="12.75" x14ac:dyDescent="0.2">
      <c r="B2467" s="179" t="s">
        <v>2866</v>
      </c>
      <c r="C2467" s="180" t="s">
        <v>2860</v>
      </c>
      <c r="D2467" s="179" t="s">
        <v>216</v>
      </c>
      <c r="E2467" s="181">
        <v>0.5</v>
      </c>
    </row>
    <row r="2468" spans="2:5" ht="12.75" x14ac:dyDescent="0.2">
      <c r="B2468" s="179" t="s">
        <v>2867</v>
      </c>
      <c r="C2468" s="180" t="s">
        <v>2860</v>
      </c>
      <c r="D2468" s="179" t="s">
        <v>216</v>
      </c>
      <c r="E2468" s="181">
        <v>0.5</v>
      </c>
    </row>
    <row r="2469" spans="2:5" ht="12.75" x14ac:dyDescent="0.2">
      <c r="B2469" s="179" t="s">
        <v>2868</v>
      </c>
      <c r="C2469" s="180" t="s">
        <v>2869</v>
      </c>
      <c r="D2469" s="179" t="s">
        <v>214</v>
      </c>
      <c r="E2469" s="181">
        <v>0.1</v>
      </c>
    </row>
    <row r="2470" spans="2:5" ht="12.75" x14ac:dyDescent="0.2">
      <c r="B2470" s="179" t="s">
        <v>2870</v>
      </c>
      <c r="C2470" s="180" t="s">
        <v>2871</v>
      </c>
      <c r="D2470" s="179" t="s">
        <v>216</v>
      </c>
      <c r="E2470" s="181">
        <v>0.5</v>
      </c>
    </row>
    <row r="2471" spans="2:5" ht="12.75" x14ac:dyDescent="0.2">
      <c r="B2471" s="179" t="s">
        <v>2872</v>
      </c>
      <c r="C2471" s="180" t="s">
        <v>2871</v>
      </c>
      <c r="D2471" s="179" t="s">
        <v>216</v>
      </c>
      <c r="E2471" s="181">
        <v>0.5</v>
      </c>
    </row>
    <row r="2472" spans="2:5" ht="12.75" x14ac:dyDescent="0.2">
      <c r="B2472" s="179" t="s">
        <v>2873</v>
      </c>
      <c r="C2472" s="180" t="s">
        <v>2874</v>
      </c>
      <c r="D2472" s="179" t="s">
        <v>214</v>
      </c>
      <c r="E2472" s="181">
        <v>0.1</v>
      </c>
    </row>
    <row r="2473" spans="2:5" ht="12.75" x14ac:dyDescent="0.2">
      <c r="B2473" s="179" t="s">
        <v>2875</v>
      </c>
      <c r="C2473" s="180" t="s">
        <v>2876</v>
      </c>
      <c r="D2473" s="179" t="s">
        <v>214</v>
      </c>
      <c r="E2473" s="181">
        <v>0.5</v>
      </c>
    </row>
    <row r="2474" spans="2:5" ht="12.75" x14ac:dyDescent="0.2">
      <c r="B2474" s="179" t="s">
        <v>2877</v>
      </c>
      <c r="C2474" s="180" t="s">
        <v>2878</v>
      </c>
      <c r="D2474" s="179" t="s">
        <v>216</v>
      </c>
      <c r="E2474" s="181">
        <v>0.5</v>
      </c>
    </row>
    <row r="2475" spans="2:5" ht="12.75" x14ac:dyDescent="0.2">
      <c r="B2475" s="179" t="s">
        <v>2879</v>
      </c>
      <c r="C2475" s="180" t="s">
        <v>2880</v>
      </c>
      <c r="D2475" s="179" t="s">
        <v>214</v>
      </c>
      <c r="E2475" s="181">
        <v>0.5</v>
      </c>
    </row>
    <row r="2476" spans="2:5" ht="12.75" x14ac:dyDescent="0.2">
      <c r="B2476" s="179" t="s">
        <v>2881</v>
      </c>
      <c r="C2476" s="180" t="s">
        <v>2880</v>
      </c>
      <c r="D2476" s="179" t="s">
        <v>216</v>
      </c>
      <c r="E2476" s="181">
        <v>0.5</v>
      </c>
    </row>
    <row r="2477" spans="2:5" ht="12.75" x14ac:dyDescent="0.2">
      <c r="B2477" s="179" t="s">
        <v>2882</v>
      </c>
      <c r="C2477" s="180" t="s">
        <v>2883</v>
      </c>
      <c r="D2477" s="179" t="s">
        <v>214</v>
      </c>
      <c r="E2477" s="181">
        <v>0.5</v>
      </c>
    </row>
    <row r="2478" spans="2:5" ht="12.75" x14ac:dyDescent="0.2">
      <c r="B2478" s="179" t="s">
        <v>2884</v>
      </c>
      <c r="C2478" s="180" t="s">
        <v>2883</v>
      </c>
      <c r="D2478" s="179" t="s">
        <v>216</v>
      </c>
      <c r="E2478" s="181">
        <v>0.5</v>
      </c>
    </row>
    <row r="2479" spans="2:5" ht="12.75" x14ac:dyDescent="0.2">
      <c r="B2479" s="179" t="s">
        <v>2885</v>
      </c>
      <c r="C2479" s="180" t="s">
        <v>2886</v>
      </c>
      <c r="D2479" s="179" t="s">
        <v>214</v>
      </c>
      <c r="E2479" s="181">
        <v>2</v>
      </c>
    </row>
    <row r="2480" spans="2:5" ht="12.75" x14ac:dyDescent="0.2">
      <c r="B2480" s="179" t="s">
        <v>2887</v>
      </c>
      <c r="C2480" s="180" t="s">
        <v>2886</v>
      </c>
      <c r="D2480" s="179" t="s">
        <v>216</v>
      </c>
      <c r="E2480" s="181">
        <v>0.5</v>
      </c>
    </row>
    <row r="2481" spans="2:5" ht="12.75" x14ac:dyDescent="0.2">
      <c r="B2481" s="179" t="s">
        <v>2888</v>
      </c>
      <c r="C2481" s="180" t="s">
        <v>2886</v>
      </c>
      <c r="D2481" s="179" t="s">
        <v>216</v>
      </c>
      <c r="E2481" s="181">
        <v>0.5</v>
      </c>
    </row>
    <row r="2482" spans="2:5" ht="12.75" x14ac:dyDescent="0.2">
      <c r="B2482" s="179" t="s">
        <v>2889</v>
      </c>
      <c r="C2482" s="180" t="s">
        <v>2890</v>
      </c>
      <c r="D2482" s="179" t="s">
        <v>214</v>
      </c>
      <c r="E2482" s="181">
        <v>0.5</v>
      </c>
    </row>
    <row r="2483" spans="2:5" ht="12.75" x14ac:dyDescent="0.2">
      <c r="B2483" s="179" t="s">
        <v>2891</v>
      </c>
      <c r="C2483" s="180" t="s">
        <v>2890</v>
      </c>
      <c r="D2483" s="179" t="s">
        <v>216</v>
      </c>
      <c r="E2483" s="181">
        <v>0.5</v>
      </c>
    </row>
    <row r="2484" spans="2:5" ht="12.75" x14ac:dyDescent="0.2">
      <c r="B2484" s="179" t="s">
        <v>2892</v>
      </c>
      <c r="C2484" s="180" t="s">
        <v>2890</v>
      </c>
      <c r="D2484" s="179" t="s">
        <v>216</v>
      </c>
      <c r="E2484" s="181">
        <v>0.5</v>
      </c>
    </row>
    <row r="2485" spans="2:5" ht="12.75" x14ac:dyDescent="0.2">
      <c r="B2485" s="179" t="s">
        <v>2893</v>
      </c>
      <c r="C2485" s="180" t="s">
        <v>2894</v>
      </c>
      <c r="D2485" s="179" t="s">
        <v>214</v>
      </c>
      <c r="E2485" s="181">
        <v>2</v>
      </c>
    </row>
    <row r="2486" spans="2:5" ht="12.75" x14ac:dyDescent="0.2">
      <c r="B2486" s="179" t="s">
        <v>2895</v>
      </c>
      <c r="C2486" s="180" t="s">
        <v>2896</v>
      </c>
      <c r="D2486" s="179" t="s">
        <v>214</v>
      </c>
      <c r="E2486" s="181">
        <v>0.5</v>
      </c>
    </row>
    <row r="2487" spans="2:5" ht="12.75" x14ac:dyDescent="0.2">
      <c r="B2487" s="179" t="s">
        <v>2897</v>
      </c>
      <c r="C2487" s="180" t="s">
        <v>2896</v>
      </c>
      <c r="D2487" s="179" t="s">
        <v>216</v>
      </c>
      <c r="E2487" s="181">
        <v>0.5</v>
      </c>
    </row>
    <row r="2488" spans="2:5" ht="12.75" x14ac:dyDescent="0.2">
      <c r="B2488" s="179" t="s">
        <v>2898</v>
      </c>
      <c r="C2488" s="180" t="s">
        <v>2899</v>
      </c>
      <c r="D2488" s="179" t="s">
        <v>214</v>
      </c>
      <c r="E2488" s="181">
        <v>0.5</v>
      </c>
    </row>
    <row r="2489" spans="2:5" ht="12.75" x14ac:dyDescent="0.2">
      <c r="B2489" s="179" t="s">
        <v>2900</v>
      </c>
      <c r="C2489" s="180" t="s">
        <v>2899</v>
      </c>
      <c r="D2489" s="179" t="s">
        <v>216</v>
      </c>
      <c r="E2489" s="181">
        <v>0.5</v>
      </c>
    </row>
    <row r="2490" spans="2:5" ht="12.75" x14ac:dyDescent="0.2">
      <c r="B2490" s="179" t="s">
        <v>2901</v>
      </c>
      <c r="C2490" s="180" t="s">
        <v>2899</v>
      </c>
      <c r="D2490" s="179" t="s">
        <v>216</v>
      </c>
      <c r="E2490" s="181">
        <v>0.5</v>
      </c>
    </row>
    <row r="2491" spans="2:5" ht="12.75" x14ac:dyDescent="0.2">
      <c r="B2491" s="179" t="s">
        <v>2902</v>
      </c>
      <c r="C2491" s="180" t="s">
        <v>2899</v>
      </c>
      <c r="D2491" s="179" t="s">
        <v>216</v>
      </c>
      <c r="E2491" s="181">
        <v>0.5</v>
      </c>
    </row>
    <row r="2492" spans="2:5" ht="12.75" x14ac:dyDescent="0.2">
      <c r="B2492" s="179" t="s">
        <v>2903</v>
      </c>
      <c r="C2492" s="180" t="s">
        <v>2899</v>
      </c>
      <c r="D2492" s="179" t="s">
        <v>216</v>
      </c>
      <c r="E2492" s="181">
        <v>0.5</v>
      </c>
    </row>
    <row r="2493" spans="2:5" ht="12.75" x14ac:dyDescent="0.2">
      <c r="B2493" s="179" t="s">
        <v>2904</v>
      </c>
      <c r="C2493" s="180" t="s">
        <v>2899</v>
      </c>
      <c r="D2493" s="179" t="s">
        <v>216</v>
      </c>
      <c r="E2493" s="181">
        <v>0.5</v>
      </c>
    </row>
    <row r="2494" spans="2:5" ht="12.75" x14ac:dyDescent="0.2">
      <c r="B2494" s="179" t="s">
        <v>2905</v>
      </c>
      <c r="C2494" s="180" t="s">
        <v>2899</v>
      </c>
      <c r="D2494" s="179" t="s">
        <v>216</v>
      </c>
      <c r="E2494" s="181">
        <v>0.5</v>
      </c>
    </row>
    <row r="2495" spans="2:5" ht="12.75" x14ac:dyDescent="0.2">
      <c r="B2495" s="179" t="s">
        <v>2906</v>
      </c>
      <c r="C2495" s="180" t="s">
        <v>2899</v>
      </c>
      <c r="D2495" s="179" t="s">
        <v>216</v>
      </c>
      <c r="E2495" s="181">
        <v>0.5</v>
      </c>
    </row>
    <row r="2496" spans="2:5" ht="12.75" x14ac:dyDescent="0.2">
      <c r="B2496" s="179" t="s">
        <v>2907</v>
      </c>
      <c r="C2496" s="180" t="s">
        <v>2899</v>
      </c>
      <c r="D2496" s="179" t="s">
        <v>216</v>
      </c>
      <c r="E2496" s="181">
        <v>0.5</v>
      </c>
    </row>
    <row r="2497" spans="2:5" ht="12.75" x14ac:dyDescent="0.2">
      <c r="B2497" s="179" t="s">
        <v>2908</v>
      </c>
      <c r="C2497" s="180" t="s">
        <v>2899</v>
      </c>
      <c r="D2497" s="179" t="s">
        <v>216</v>
      </c>
      <c r="E2497" s="181">
        <v>0.5</v>
      </c>
    </row>
    <row r="2498" spans="2:5" ht="12.75" x14ac:dyDescent="0.2">
      <c r="B2498" s="179" t="s">
        <v>2909</v>
      </c>
      <c r="C2498" s="180" t="s">
        <v>2899</v>
      </c>
      <c r="D2498" s="179" t="s">
        <v>216</v>
      </c>
      <c r="E2498" s="181">
        <v>0.5</v>
      </c>
    </row>
    <row r="2499" spans="2:5" ht="12.75" x14ac:dyDescent="0.2">
      <c r="B2499" s="179" t="s">
        <v>2910</v>
      </c>
      <c r="C2499" s="180" t="s">
        <v>2899</v>
      </c>
      <c r="D2499" s="179" t="s">
        <v>216</v>
      </c>
      <c r="E2499" s="181">
        <v>0.5</v>
      </c>
    </row>
    <row r="2500" spans="2:5" ht="12.75" x14ac:dyDescent="0.2">
      <c r="B2500" s="179" t="s">
        <v>2911</v>
      </c>
      <c r="C2500" s="180" t="s">
        <v>2899</v>
      </c>
      <c r="D2500" s="179" t="s">
        <v>216</v>
      </c>
      <c r="E2500" s="181">
        <v>0.5</v>
      </c>
    </row>
    <row r="2501" spans="2:5" ht="12.75" x14ac:dyDescent="0.2">
      <c r="B2501" s="179" t="s">
        <v>2912</v>
      </c>
      <c r="C2501" s="180" t="s">
        <v>2899</v>
      </c>
      <c r="D2501" s="179" t="s">
        <v>216</v>
      </c>
      <c r="E2501" s="181">
        <v>0.5</v>
      </c>
    </row>
    <row r="2502" spans="2:5" ht="12.75" x14ac:dyDescent="0.2">
      <c r="B2502" s="179" t="s">
        <v>2913</v>
      </c>
      <c r="C2502" s="180" t="s">
        <v>2899</v>
      </c>
      <c r="D2502" s="179" t="s">
        <v>216</v>
      </c>
      <c r="E2502" s="181">
        <v>0.5</v>
      </c>
    </row>
    <row r="2503" spans="2:5" ht="12.75" x14ac:dyDescent="0.2">
      <c r="B2503" s="179" t="s">
        <v>2914</v>
      </c>
      <c r="C2503" s="180" t="s">
        <v>2899</v>
      </c>
      <c r="D2503" s="179" t="s">
        <v>216</v>
      </c>
      <c r="E2503" s="181">
        <v>0.5</v>
      </c>
    </row>
    <row r="2504" spans="2:5" ht="12.75" x14ac:dyDescent="0.2">
      <c r="B2504" s="179" t="s">
        <v>2915</v>
      </c>
      <c r="C2504" s="180" t="s">
        <v>2899</v>
      </c>
      <c r="D2504" s="179" t="s">
        <v>216</v>
      </c>
      <c r="E2504" s="181">
        <v>0.5</v>
      </c>
    </row>
    <row r="2505" spans="2:5" ht="12.75" x14ac:dyDescent="0.2">
      <c r="B2505" s="179" t="s">
        <v>2916</v>
      </c>
      <c r="C2505" s="180" t="s">
        <v>2899</v>
      </c>
      <c r="D2505" s="179" t="s">
        <v>216</v>
      </c>
      <c r="E2505" s="181">
        <v>0.5</v>
      </c>
    </row>
    <row r="2506" spans="2:5" ht="12.75" x14ac:dyDescent="0.2">
      <c r="B2506" s="179" t="s">
        <v>2917</v>
      </c>
      <c r="C2506" s="180" t="s">
        <v>2899</v>
      </c>
      <c r="D2506" s="179" t="s">
        <v>216</v>
      </c>
      <c r="E2506" s="181">
        <v>0.5</v>
      </c>
    </row>
    <row r="2507" spans="2:5" ht="12.75" x14ac:dyDescent="0.2">
      <c r="B2507" s="179" t="s">
        <v>2918</v>
      </c>
      <c r="C2507" s="180" t="s">
        <v>2899</v>
      </c>
      <c r="D2507" s="179" t="s">
        <v>216</v>
      </c>
      <c r="E2507" s="181">
        <v>0.5</v>
      </c>
    </row>
    <row r="2508" spans="2:5" ht="12.75" x14ac:dyDescent="0.2">
      <c r="B2508" s="179" t="s">
        <v>2919</v>
      </c>
      <c r="C2508" s="180" t="s">
        <v>2899</v>
      </c>
      <c r="D2508" s="179" t="s">
        <v>216</v>
      </c>
      <c r="E2508" s="181">
        <v>0.5</v>
      </c>
    </row>
    <row r="2509" spans="2:5" ht="12.75" x14ac:dyDescent="0.2">
      <c r="B2509" s="179" t="s">
        <v>2920</v>
      </c>
      <c r="C2509" s="180" t="s">
        <v>2899</v>
      </c>
      <c r="D2509" s="179" t="s">
        <v>216</v>
      </c>
      <c r="E2509" s="181">
        <v>0.5</v>
      </c>
    </row>
    <row r="2510" spans="2:5" ht="12.75" x14ac:dyDescent="0.2">
      <c r="B2510" s="179" t="s">
        <v>2921</v>
      </c>
      <c r="C2510" s="180" t="s">
        <v>2922</v>
      </c>
      <c r="D2510" s="179" t="s">
        <v>214</v>
      </c>
      <c r="E2510" s="181">
        <v>0.5</v>
      </c>
    </row>
    <row r="2511" spans="2:5" ht="12.75" x14ac:dyDescent="0.2">
      <c r="B2511" s="179" t="s">
        <v>2923</v>
      </c>
      <c r="C2511" s="180" t="s">
        <v>2922</v>
      </c>
      <c r="D2511" s="179" t="s">
        <v>216</v>
      </c>
      <c r="E2511" s="181">
        <v>0.5</v>
      </c>
    </row>
    <row r="2512" spans="2:5" ht="12.75" x14ac:dyDescent="0.2">
      <c r="B2512" s="179" t="s">
        <v>2924</v>
      </c>
      <c r="C2512" s="180" t="s">
        <v>2922</v>
      </c>
      <c r="D2512" s="179" t="s">
        <v>216</v>
      </c>
      <c r="E2512" s="181">
        <v>0.5</v>
      </c>
    </row>
    <row r="2513" spans="2:5" ht="12.75" x14ac:dyDescent="0.2">
      <c r="B2513" s="179" t="s">
        <v>2925</v>
      </c>
      <c r="C2513" s="180" t="s">
        <v>2922</v>
      </c>
      <c r="D2513" s="179" t="s">
        <v>216</v>
      </c>
      <c r="E2513" s="181">
        <v>0.5</v>
      </c>
    </row>
    <row r="2514" spans="2:5" ht="12.75" x14ac:dyDescent="0.2">
      <c r="B2514" s="179" t="s">
        <v>2926</v>
      </c>
      <c r="C2514" s="180" t="s">
        <v>2922</v>
      </c>
      <c r="D2514" s="179" t="s">
        <v>216</v>
      </c>
      <c r="E2514" s="181">
        <v>0.5</v>
      </c>
    </row>
    <row r="2515" spans="2:5" ht="12.75" x14ac:dyDescent="0.2">
      <c r="B2515" s="179" t="s">
        <v>2927</v>
      </c>
      <c r="C2515" s="180" t="s">
        <v>2922</v>
      </c>
      <c r="D2515" s="179" t="s">
        <v>216</v>
      </c>
      <c r="E2515" s="181">
        <v>0.5</v>
      </c>
    </row>
    <row r="2516" spans="2:5" ht="12.75" x14ac:dyDescent="0.2">
      <c r="B2516" s="179" t="s">
        <v>2928</v>
      </c>
      <c r="C2516" s="180" t="s">
        <v>2922</v>
      </c>
      <c r="D2516" s="179" t="s">
        <v>216</v>
      </c>
      <c r="E2516" s="181">
        <v>0.5</v>
      </c>
    </row>
    <row r="2517" spans="2:5" ht="12.75" x14ac:dyDescent="0.2">
      <c r="B2517" s="179" t="s">
        <v>2929</v>
      </c>
      <c r="C2517" s="180" t="s">
        <v>2922</v>
      </c>
      <c r="D2517" s="179" t="s">
        <v>216</v>
      </c>
      <c r="E2517" s="181">
        <v>0.5</v>
      </c>
    </row>
    <row r="2518" spans="2:5" ht="12.75" x14ac:dyDescent="0.2">
      <c r="B2518" s="179" t="s">
        <v>2930</v>
      </c>
      <c r="C2518" s="180" t="s">
        <v>2931</v>
      </c>
      <c r="D2518" s="179" t="s">
        <v>214</v>
      </c>
      <c r="E2518" s="181">
        <v>0.5</v>
      </c>
    </row>
    <row r="2519" spans="2:5" ht="12.75" x14ac:dyDescent="0.2">
      <c r="B2519" s="179" t="s">
        <v>2932</v>
      </c>
      <c r="C2519" s="180" t="s">
        <v>2931</v>
      </c>
      <c r="D2519" s="179" t="s">
        <v>216</v>
      </c>
      <c r="E2519" s="181">
        <v>0.5</v>
      </c>
    </row>
    <row r="2520" spans="2:5" ht="12.75" x14ac:dyDescent="0.2">
      <c r="B2520" s="179" t="s">
        <v>2933</v>
      </c>
      <c r="C2520" s="180" t="s">
        <v>2931</v>
      </c>
      <c r="D2520" s="179" t="s">
        <v>216</v>
      </c>
      <c r="E2520" s="181">
        <v>0.5</v>
      </c>
    </row>
    <row r="2521" spans="2:5" ht="12.75" x14ac:dyDescent="0.2">
      <c r="B2521" s="179" t="s">
        <v>2934</v>
      </c>
      <c r="C2521" s="180" t="s">
        <v>2931</v>
      </c>
      <c r="D2521" s="179" t="s">
        <v>216</v>
      </c>
      <c r="E2521" s="181">
        <v>0.5</v>
      </c>
    </row>
    <row r="2522" spans="2:5" ht="12.75" x14ac:dyDescent="0.2">
      <c r="B2522" s="179" t="s">
        <v>2935</v>
      </c>
      <c r="C2522" s="180" t="s">
        <v>2936</v>
      </c>
      <c r="D2522" s="179" t="s">
        <v>214</v>
      </c>
      <c r="E2522" s="181">
        <v>0.5</v>
      </c>
    </row>
    <row r="2523" spans="2:5" ht="12.75" x14ac:dyDescent="0.2">
      <c r="B2523" s="179" t="s">
        <v>2937</v>
      </c>
      <c r="C2523" s="180" t="s">
        <v>2938</v>
      </c>
      <c r="D2523" s="179" t="s">
        <v>214</v>
      </c>
      <c r="E2523" s="181">
        <v>0.5</v>
      </c>
    </row>
    <row r="2524" spans="2:5" ht="12.75" x14ac:dyDescent="0.2">
      <c r="B2524" s="179" t="s">
        <v>2937</v>
      </c>
      <c r="C2524" s="180" t="s">
        <v>2938</v>
      </c>
      <c r="D2524" s="179" t="s">
        <v>216</v>
      </c>
      <c r="E2524" s="181">
        <v>0.5</v>
      </c>
    </row>
    <row r="2525" spans="2:5" ht="12.75" x14ac:dyDescent="0.2">
      <c r="B2525" s="179" t="s">
        <v>2939</v>
      </c>
      <c r="C2525" s="180" t="s">
        <v>2940</v>
      </c>
      <c r="D2525" s="179" t="s">
        <v>214</v>
      </c>
      <c r="E2525" s="181">
        <v>0.1</v>
      </c>
    </row>
    <row r="2526" spans="2:5" ht="12.75" x14ac:dyDescent="0.2">
      <c r="B2526" s="179" t="s">
        <v>2941</v>
      </c>
      <c r="C2526" s="180" t="s">
        <v>2940</v>
      </c>
      <c r="D2526" s="179" t="s">
        <v>214</v>
      </c>
      <c r="E2526" s="181">
        <v>0.1</v>
      </c>
    </row>
    <row r="2527" spans="2:5" ht="12.75" x14ac:dyDescent="0.2">
      <c r="B2527" s="179" t="s">
        <v>2942</v>
      </c>
      <c r="C2527" s="180" t="s">
        <v>2940</v>
      </c>
      <c r="D2527" s="179" t="s">
        <v>214</v>
      </c>
      <c r="E2527" s="181">
        <v>0.1</v>
      </c>
    </row>
    <row r="2528" spans="2:5" ht="12.75" x14ac:dyDescent="0.2">
      <c r="B2528" s="179" t="s">
        <v>2943</v>
      </c>
      <c r="C2528" s="180" t="s">
        <v>2940</v>
      </c>
      <c r="D2528" s="179" t="s">
        <v>214</v>
      </c>
      <c r="E2528" s="181">
        <v>0.1</v>
      </c>
    </row>
    <row r="2529" spans="2:5" ht="12.75" x14ac:dyDescent="0.2">
      <c r="B2529" s="179" t="s">
        <v>2944</v>
      </c>
      <c r="C2529" s="180" t="s">
        <v>2940</v>
      </c>
      <c r="D2529" s="179" t="s">
        <v>214</v>
      </c>
      <c r="E2529" s="181">
        <v>0.1</v>
      </c>
    </row>
    <row r="2530" spans="2:5" ht="12.75" x14ac:dyDescent="0.2">
      <c r="B2530" s="179" t="s">
        <v>2945</v>
      </c>
      <c r="C2530" s="180" t="s">
        <v>2940</v>
      </c>
      <c r="D2530" s="179" t="s">
        <v>214</v>
      </c>
      <c r="E2530" s="181">
        <v>0.1</v>
      </c>
    </row>
    <row r="2531" spans="2:5" ht="12.75" x14ac:dyDescent="0.2">
      <c r="B2531" s="179" t="s">
        <v>2946</v>
      </c>
      <c r="C2531" s="180" t="s">
        <v>2940</v>
      </c>
      <c r="D2531" s="179" t="s">
        <v>214</v>
      </c>
      <c r="E2531" s="181">
        <v>0.1</v>
      </c>
    </row>
    <row r="2532" spans="2:5" ht="12.75" x14ac:dyDescent="0.2">
      <c r="B2532" s="179" t="s">
        <v>2947</v>
      </c>
      <c r="C2532" s="180" t="s">
        <v>2940</v>
      </c>
      <c r="D2532" s="179" t="s">
        <v>214</v>
      </c>
      <c r="E2532" s="181">
        <v>0.1</v>
      </c>
    </row>
    <row r="2533" spans="2:5" ht="12.75" x14ac:dyDescent="0.2">
      <c r="B2533" s="179" t="s">
        <v>2948</v>
      </c>
      <c r="C2533" s="180" t="s">
        <v>2940</v>
      </c>
      <c r="D2533" s="179" t="s">
        <v>214</v>
      </c>
      <c r="E2533" s="181">
        <v>0.1</v>
      </c>
    </row>
    <row r="2534" spans="2:5" ht="12.75" x14ac:dyDescent="0.2">
      <c r="B2534" s="179" t="s">
        <v>2949</v>
      </c>
      <c r="C2534" s="180" t="s">
        <v>2940</v>
      </c>
      <c r="D2534" s="179" t="s">
        <v>214</v>
      </c>
      <c r="E2534" s="181">
        <v>0.1</v>
      </c>
    </row>
    <row r="2535" spans="2:5" ht="12.75" x14ac:dyDescent="0.2">
      <c r="B2535" s="179" t="s">
        <v>2950</v>
      </c>
      <c r="C2535" s="180" t="s">
        <v>2940</v>
      </c>
      <c r="D2535" s="179" t="s">
        <v>214</v>
      </c>
      <c r="E2535" s="181">
        <v>0.1</v>
      </c>
    </row>
    <row r="2536" spans="2:5" ht="12.75" x14ac:dyDescent="0.2">
      <c r="B2536" s="179" t="s">
        <v>2951</v>
      </c>
      <c r="C2536" s="180" t="s">
        <v>2952</v>
      </c>
      <c r="D2536" s="179" t="s">
        <v>214</v>
      </c>
      <c r="E2536" s="181">
        <v>0.5</v>
      </c>
    </row>
    <row r="2537" spans="2:5" ht="12.75" x14ac:dyDescent="0.2">
      <c r="B2537" s="179" t="s">
        <v>2953</v>
      </c>
      <c r="C2537" s="180" t="s">
        <v>2952</v>
      </c>
      <c r="D2537" s="179" t="s">
        <v>216</v>
      </c>
      <c r="E2537" s="181">
        <v>0.5</v>
      </c>
    </row>
    <row r="2538" spans="2:5" ht="12.75" x14ac:dyDescent="0.2">
      <c r="B2538" s="179" t="s">
        <v>2954</v>
      </c>
      <c r="C2538" s="180" t="s">
        <v>2952</v>
      </c>
      <c r="D2538" s="179" t="s">
        <v>216</v>
      </c>
      <c r="E2538" s="181">
        <v>0.5</v>
      </c>
    </row>
    <row r="2539" spans="2:5" ht="12.75" x14ac:dyDescent="0.2">
      <c r="B2539" s="179" t="s">
        <v>2955</v>
      </c>
      <c r="C2539" s="180" t="s">
        <v>2952</v>
      </c>
      <c r="D2539" s="179" t="s">
        <v>216</v>
      </c>
      <c r="E2539" s="181">
        <v>0.5</v>
      </c>
    </row>
    <row r="2540" spans="2:5" ht="12.75" x14ac:dyDescent="0.2">
      <c r="B2540" s="179" t="s">
        <v>2956</v>
      </c>
      <c r="C2540" s="180" t="s">
        <v>2952</v>
      </c>
      <c r="D2540" s="179" t="s">
        <v>216</v>
      </c>
      <c r="E2540" s="181">
        <v>0.5</v>
      </c>
    </row>
    <row r="2541" spans="2:5" ht="12.75" x14ac:dyDescent="0.2">
      <c r="B2541" s="179" t="s">
        <v>2957</v>
      </c>
      <c r="C2541" s="180" t="s">
        <v>2952</v>
      </c>
      <c r="D2541" s="179" t="s">
        <v>216</v>
      </c>
      <c r="E2541" s="181">
        <v>0.5</v>
      </c>
    </row>
    <row r="2542" spans="2:5" ht="12.75" x14ac:dyDescent="0.2">
      <c r="B2542" s="179" t="s">
        <v>2958</v>
      </c>
      <c r="C2542" s="180" t="s">
        <v>2952</v>
      </c>
      <c r="D2542" s="179" t="s">
        <v>216</v>
      </c>
      <c r="E2542" s="181">
        <v>0.5</v>
      </c>
    </row>
    <row r="2543" spans="2:5" ht="12.75" x14ac:dyDescent="0.2">
      <c r="B2543" s="179" t="s">
        <v>2959</v>
      </c>
      <c r="C2543" s="180" t="s">
        <v>2952</v>
      </c>
      <c r="D2543" s="179" t="s">
        <v>216</v>
      </c>
      <c r="E2543" s="181">
        <v>0.5</v>
      </c>
    </row>
    <row r="2544" spans="2:5" ht="12.75" x14ac:dyDescent="0.2">
      <c r="B2544" s="179" t="s">
        <v>2960</v>
      </c>
      <c r="C2544" s="180" t="s">
        <v>2952</v>
      </c>
      <c r="D2544" s="179" t="s">
        <v>216</v>
      </c>
      <c r="E2544" s="181">
        <v>0.5</v>
      </c>
    </row>
    <row r="2545" spans="2:5" ht="12.75" x14ac:dyDescent="0.2">
      <c r="B2545" s="179" t="s">
        <v>2961</v>
      </c>
      <c r="C2545" s="180" t="s">
        <v>2952</v>
      </c>
      <c r="D2545" s="179" t="s">
        <v>216</v>
      </c>
      <c r="E2545" s="181">
        <v>0.5</v>
      </c>
    </row>
    <row r="2546" spans="2:5" ht="12.75" x14ac:dyDescent="0.2">
      <c r="B2546" s="179" t="s">
        <v>2962</v>
      </c>
      <c r="C2546" s="180" t="s">
        <v>2952</v>
      </c>
      <c r="D2546" s="179" t="s">
        <v>216</v>
      </c>
      <c r="E2546" s="181">
        <v>0.5</v>
      </c>
    </row>
    <row r="2547" spans="2:5" ht="12.75" x14ac:dyDescent="0.2">
      <c r="B2547" s="179" t="s">
        <v>2963</v>
      </c>
      <c r="C2547" s="180" t="s">
        <v>2952</v>
      </c>
      <c r="D2547" s="179" t="s">
        <v>216</v>
      </c>
      <c r="E2547" s="181">
        <v>0.5</v>
      </c>
    </row>
    <row r="2548" spans="2:5" ht="12.75" x14ac:dyDescent="0.2">
      <c r="B2548" s="179" t="s">
        <v>2964</v>
      </c>
      <c r="C2548" s="180" t="s">
        <v>2952</v>
      </c>
      <c r="D2548" s="179" t="s">
        <v>216</v>
      </c>
      <c r="E2548" s="181">
        <v>0.5</v>
      </c>
    </row>
    <row r="2549" spans="2:5" ht="12.75" x14ac:dyDescent="0.2">
      <c r="B2549" s="179" t="s">
        <v>2965</v>
      </c>
      <c r="C2549" s="180" t="s">
        <v>2952</v>
      </c>
      <c r="D2549" s="179" t="s">
        <v>216</v>
      </c>
      <c r="E2549" s="181">
        <v>0.5</v>
      </c>
    </row>
    <row r="2550" spans="2:5" ht="12.75" x14ac:dyDescent="0.2">
      <c r="B2550" s="179" t="s">
        <v>2966</v>
      </c>
      <c r="C2550" s="180" t="s">
        <v>2952</v>
      </c>
      <c r="D2550" s="179" t="s">
        <v>216</v>
      </c>
      <c r="E2550" s="181">
        <v>0.5</v>
      </c>
    </row>
    <row r="2551" spans="2:5" ht="12.75" x14ac:dyDescent="0.2">
      <c r="B2551" s="179" t="s">
        <v>2967</v>
      </c>
      <c r="C2551" s="180" t="s">
        <v>2952</v>
      </c>
      <c r="D2551" s="179" t="s">
        <v>216</v>
      </c>
      <c r="E2551" s="181">
        <v>0.5</v>
      </c>
    </row>
    <row r="2552" spans="2:5" ht="12.75" x14ac:dyDescent="0.2">
      <c r="B2552" s="179" t="s">
        <v>2968</v>
      </c>
      <c r="C2552" s="180" t="s">
        <v>2952</v>
      </c>
      <c r="D2552" s="179" t="s">
        <v>216</v>
      </c>
      <c r="E2552" s="181">
        <v>0.5</v>
      </c>
    </row>
    <row r="2553" spans="2:5" ht="12.75" x14ac:dyDescent="0.2">
      <c r="B2553" s="179" t="s">
        <v>2969</v>
      </c>
      <c r="C2553" s="180" t="s">
        <v>2970</v>
      </c>
      <c r="D2553" s="179" t="s">
        <v>214</v>
      </c>
      <c r="E2553" s="181">
        <v>0.1</v>
      </c>
    </row>
    <row r="2554" spans="2:5" ht="12.75" x14ac:dyDescent="0.2">
      <c r="B2554" s="179" t="s">
        <v>2971</v>
      </c>
      <c r="C2554" s="180" t="s">
        <v>2970</v>
      </c>
      <c r="D2554" s="179" t="s">
        <v>216</v>
      </c>
      <c r="E2554" s="181">
        <v>0.1</v>
      </c>
    </row>
    <row r="2555" spans="2:5" ht="12.75" x14ac:dyDescent="0.2">
      <c r="B2555" s="179" t="s">
        <v>2972</v>
      </c>
      <c r="C2555" s="180" t="s">
        <v>2970</v>
      </c>
      <c r="D2555" s="179" t="s">
        <v>216</v>
      </c>
      <c r="E2555" s="181">
        <v>0.1</v>
      </c>
    </row>
    <row r="2556" spans="2:5" ht="12.75" x14ac:dyDescent="0.2">
      <c r="B2556" s="179" t="s">
        <v>2973</v>
      </c>
      <c r="C2556" s="180" t="s">
        <v>2970</v>
      </c>
      <c r="D2556" s="179" t="s">
        <v>216</v>
      </c>
      <c r="E2556" s="181">
        <v>0.1</v>
      </c>
    </row>
    <row r="2557" spans="2:5" ht="12.75" x14ac:dyDescent="0.2">
      <c r="B2557" s="179" t="s">
        <v>2974</v>
      </c>
      <c r="C2557" s="180" t="s">
        <v>2970</v>
      </c>
      <c r="D2557" s="179" t="s">
        <v>216</v>
      </c>
      <c r="E2557" s="181">
        <v>0.1</v>
      </c>
    </row>
    <row r="2558" spans="2:5" ht="12.75" x14ac:dyDescent="0.2">
      <c r="B2558" s="179" t="s">
        <v>2975</v>
      </c>
      <c r="C2558" s="180" t="s">
        <v>2970</v>
      </c>
      <c r="D2558" s="179" t="s">
        <v>216</v>
      </c>
      <c r="E2558" s="181">
        <v>0.1</v>
      </c>
    </row>
    <row r="2559" spans="2:5" ht="12.75" x14ac:dyDescent="0.2">
      <c r="B2559" s="179" t="s">
        <v>2976</v>
      </c>
      <c r="C2559" s="180" t="s">
        <v>2970</v>
      </c>
      <c r="D2559" s="179" t="s">
        <v>216</v>
      </c>
      <c r="E2559" s="181">
        <v>0.1</v>
      </c>
    </row>
    <row r="2560" spans="2:5" ht="12.75" x14ac:dyDescent="0.2">
      <c r="B2560" s="179" t="s">
        <v>2977</v>
      </c>
      <c r="C2560" s="180" t="s">
        <v>2970</v>
      </c>
      <c r="D2560" s="179" t="s">
        <v>216</v>
      </c>
      <c r="E2560" s="181">
        <v>0.1</v>
      </c>
    </row>
    <row r="2561" spans="2:5" ht="12.75" x14ac:dyDescent="0.2">
      <c r="B2561" s="179" t="s">
        <v>2978</v>
      </c>
      <c r="C2561" s="180" t="s">
        <v>2979</v>
      </c>
      <c r="D2561" s="179" t="s">
        <v>214</v>
      </c>
      <c r="E2561" s="181">
        <v>0.5</v>
      </c>
    </row>
    <row r="2562" spans="2:5" ht="12.75" x14ac:dyDescent="0.2">
      <c r="B2562" s="179" t="s">
        <v>2980</v>
      </c>
      <c r="C2562" s="180" t="s">
        <v>2979</v>
      </c>
      <c r="D2562" s="179" t="s">
        <v>216</v>
      </c>
      <c r="E2562" s="181">
        <v>0.5</v>
      </c>
    </row>
    <row r="2563" spans="2:5" ht="12.75" x14ac:dyDescent="0.2">
      <c r="B2563" s="179" t="s">
        <v>2981</v>
      </c>
      <c r="C2563" s="180" t="s">
        <v>2979</v>
      </c>
      <c r="D2563" s="179" t="s">
        <v>216</v>
      </c>
      <c r="E2563" s="181">
        <v>0.5</v>
      </c>
    </row>
    <row r="2564" spans="2:5" ht="12.75" x14ac:dyDescent="0.2">
      <c r="B2564" s="179" t="s">
        <v>2982</v>
      </c>
      <c r="C2564" s="180" t="s">
        <v>2979</v>
      </c>
      <c r="D2564" s="179" t="s">
        <v>216</v>
      </c>
      <c r="E2564" s="181">
        <v>0.5</v>
      </c>
    </row>
    <row r="2565" spans="2:5" ht="12.75" x14ac:dyDescent="0.2">
      <c r="B2565" s="179" t="s">
        <v>2983</v>
      </c>
      <c r="C2565" s="180" t="s">
        <v>2979</v>
      </c>
      <c r="D2565" s="179" t="s">
        <v>216</v>
      </c>
      <c r="E2565" s="181">
        <v>0.5</v>
      </c>
    </row>
    <row r="2566" spans="2:5" ht="12.75" x14ac:dyDescent="0.2">
      <c r="B2566" s="179" t="s">
        <v>2984</v>
      </c>
      <c r="C2566" s="180" t="s">
        <v>2979</v>
      </c>
      <c r="D2566" s="179" t="s">
        <v>216</v>
      </c>
      <c r="E2566" s="181">
        <v>0.5</v>
      </c>
    </row>
    <row r="2567" spans="2:5" ht="12.75" x14ac:dyDescent="0.2">
      <c r="B2567" s="179" t="s">
        <v>2985</v>
      </c>
      <c r="C2567" s="180" t="s">
        <v>2986</v>
      </c>
      <c r="D2567" s="179" t="s">
        <v>214</v>
      </c>
      <c r="E2567" s="181">
        <v>0.1</v>
      </c>
    </row>
    <row r="2568" spans="2:5" ht="12.75" x14ac:dyDescent="0.2">
      <c r="B2568" s="179" t="s">
        <v>2987</v>
      </c>
      <c r="C2568" s="180" t="s">
        <v>2988</v>
      </c>
      <c r="D2568" s="179" t="s">
        <v>216</v>
      </c>
      <c r="E2568" s="181">
        <v>0.1</v>
      </c>
    </row>
    <row r="2569" spans="2:5" ht="12.75" x14ac:dyDescent="0.2">
      <c r="B2569" s="179" t="s">
        <v>2989</v>
      </c>
      <c r="C2569" s="180" t="s">
        <v>2988</v>
      </c>
      <c r="D2569" s="179" t="s">
        <v>216</v>
      </c>
      <c r="E2569" s="181">
        <v>0.1</v>
      </c>
    </row>
    <row r="2570" spans="2:5" ht="12.75" x14ac:dyDescent="0.2">
      <c r="B2570" s="179" t="s">
        <v>2990</v>
      </c>
      <c r="C2570" s="180" t="s">
        <v>2988</v>
      </c>
      <c r="D2570" s="179" t="s">
        <v>216</v>
      </c>
      <c r="E2570" s="181">
        <v>0.1</v>
      </c>
    </row>
    <row r="2571" spans="2:5" ht="12.75" x14ac:dyDescent="0.2">
      <c r="B2571" s="179" t="s">
        <v>2991</v>
      </c>
      <c r="C2571" s="180" t="s">
        <v>2992</v>
      </c>
      <c r="D2571" s="179" t="s">
        <v>214</v>
      </c>
      <c r="E2571" s="181">
        <v>0.5</v>
      </c>
    </row>
    <row r="2572" spans="2:5" ht="12.75" x14ac:dyDescent="0.2">
      <c r="B2572" s="179" t="s">
        <v>2993</v>
      </c>
      <c r="C2572" s="180" t="s">
        <v>2992</v>
      </c>
      <c r="D2572" s="179" t="s">
        <v>216</v>
      </c>
      <c r="E2572" s="181">
        <v>0.5</v>
      </c>
    </row>
    <row r="2573" spans="2:5" ht="12.75" x14ac:dyDescent="0.2">
      <c r="B2573" s="179" t="s">
        <v>2994</v>
      </c>
      <c r="C2573" s="180" t="s">
        <v>2992</v>
      </c>
      <c r="D2573" s="179" t="s">
        <v>216</v>
      </c>
      <c r="E2573" s="181">
        <v>0.5</v>
      </c>
    </row>
    <row r="2574" spans="2:5" ht="12.75" x14ac:dyDescent="0.2">
      <c r="B2574" s="179" t="s">
        <v>2995</v>
      </c>
      <c r="C2574" s="180" t="s">
        <v>2992</v>
      </c>
      <c r="D2574" s="179" t="s">
        <v>216</v>
      </c>
      <c r="E2574" s="181">
        <v>0.5</v>
      </c>
    </row>
    <row r="2575" spans="2:5" ht="12.75" x14ac:dyDescent="0.2">
      <c r="B2575" s="179" t="s">
        <v>2996</v>
      </c>
      <c r="C2575" s="180" t="s">
        <v>2992</v>
      </c>
      <c r="D2575" s="179" t="s">
        <v>216</v>
      </c>
      <c r="E2575" s="181">
        <v>0.5</v>
      </c>
    </row>
    <row r="2576" spans="2:5" ht="12.75" x14ac:dyDescent="0.2">
      <c r="B2576" s="179" t="s">
        <v>2997</v>
      </c>
      <c r="C2576" s="180" t="s">
        <v>2992</v>
      </c>
      <c r="D2576" s="179" t="s">
        <v>216</v>
      </c>
      <c r="E2576" s="181">
        <v>0.5</v>
      </c>
    </row>
    <row r="2577" spans="2:5" ht="12.75" x14ac:dyDescent="0.2">
      <c r="B2577" s="179" t="s">
        <v>2998</v>
      </c>
      <c r="C2577" s="180" t="s">
        <v>2999</v>
      </c>
      <c r="D2577" s="179" t="s">
        <v>214</v>
      </c>
      <c r="E2577" s="181">
        <v>0.5</v>
      </c>
    </row>
    <row r="2578" spans="2:5" ht="12.75" x14ac:dyDescent="0.2">
      <c r="B2578" s="179" t="s">
        <v>3000</v>
      </c>
      <c r="C2578" s="180" t="s">
        <v>2999</v>
      </c>
      <c r="D2578" s="179" t="s">
        <v>214</v>
      </c>
      <c r="E2578" s="181">
        <v>0.5</v>
      </c>
    </row>
    <row r="2579" spans="2:5" ht="12.75" x14ac:dyDescent="0.2">
      <c r="B2579" s="179" t="s">
        <v>3001</v>
      </c>
      <c r="C2579" s="180" t="s">
        <v>2999</v>
      </c>
      <c r="D2579" s="179" t="s">
        <v>216</v>
      </c>
      <c r="E2579" s="181">
        <v>0.5</v>
      </c>
    </row>
    <row r="2580" spans="2:5" ht="12.75" x14ac:dyDescent="0.2">
      <c r="B2580" s="179" t="s">
        <v>3002</v>
      </c>
      <c r="C2580" s="180" t="s">
        <v>2999</v>
      </c>
      <c r="D2580" s="179" t="s">
        <v>216</v>
      </c>
      <c r="E2580" s="181">
        <v>0.5</v>
      </c>
    </row>
    <row r="2581" spans="2:5" ht="12.75" x14ac:dyDescent="0.2">
      <c r="B2581" s="179" t="s">
        <v>3003</v>
      </c>
      <c r="C2581" s="180" t="s">
        <v>2999</v>
      </c>
      <c r="D2581" s="179" t="s">
        <v>214</v>
      </c>
      <c r="E2581" s="181">
        <v>0.5</v>
      </c>
    </row>
    <row r="2582" spans="2:5" ht="12.75" x14ac:dyDescent="0.2">
      <c r="B2582" s="179" t="s">
        <v>3004</v>
      </c>
      <c r="C2582" s="180" t="s">
        <v>2999</v>
      </c>
      <c r="D2582" s="179" t="s">
        <v>216</v>
      </c>
      <c r="E2582" s="181">
        <v>0.5</v>
      </c>
    </row>
    <row r="2583" spans="2:5" ht="12.75" x14ac:dyDescent="0.2">
      <c r="B2583" s="179" t="s">
        <v>3005</v>
      </c>
      <c r="C2583" s="180" t="s">
        <v>2999</v>
      </c>
      <c r="D2583" s="179" t="s">
        <v>216</v>
      </c>
      <c r="E2583" s="181">
        <v>0.5</v>
      </c>
    </row>
    <row r="2584" spans="2:5" ht="12.75" x14ac:dyDescent="0.2">
      <c r="B2584" s="179" t="s">
        <v>3006</v>
      </c>
      <c r="C2584" s="180" t="s">
        <v>2999</v>
      </c>
      <c r="D2584" s="179" t="s">
        <v>214</v>
      </c>
      <c r="E2584" s="181">
        <v>0.5</v>
      </c>
    </row>
    <row r="2585" spans="2:5" ht="12.75" x14ac:dyDescent="0.2">
      <c r="B2585" s="179" t="s">
        <v>3007</v>
      </c>
      <c r="C2585" s="180" t="s">
        <v>2999</v>
      </c>
      <c r="D2585" s="179" t="s">
        <v>214</v>
      </c>
      <c r="E2585" s="181">
        <v>0.5</v>
      </c>
    </row>
    <row r="2586" spans="2:5" ht="12.75" x14ac:dyDescent="0.2">
      <c r="B2586" s="179" t="s">
        <v>3008</v>
      </c>
      <c r="C2586" s="180" t="s">
        <v>2999</v>
      </c>
      <c r="D2586" s="179" t="s">
        <v>216</v>
      </c>
      <c r="E2586" s="181">
        <v>0.5</v>
      </c>
    </row>
    <row r="2587" spans="2:5" ht="12.75" x14ac:dyDescent="0.2">
      <c r="B2587" s="179" t="s">
        <v>3009</v>
      </c>
      <c r="C2587" s="180" t="s">
        <v>2999</v>
      </c>
      <c r="D2587" s="179" t="s">
        <v>216</v>
      </c>
      <c r="E2587" s="181">
        <v>0.5</v>
      </c>
    </row>
    <row r="2588" spans="2:5" ht="12.75" x14ac:dyDescent="0.2">
      <c r="B2588" s="179" t="s">
        <v>3010</v>
      </c>
      <c r="C2588" s="180" t="s">
        <v>3011</v>
      </c>
      <c r="D2588" s="179" t="s">
        <v>214</v>
      </c>
      <c r="E2588" s="181">
        <v>0.1</v>
      </c>
    </row>
    <row r="2589" spans="2:5" ht="12.75" x14ac:dyDescent="0.2">
      <c r="B2589" s="179" t="s">
        <v>3012</v>
      </c>
      <c r="C2589" s="180" t="s">
        <v>3011</v>
      </c>
      <c r="D2589" s="179" t="s">
        <v>216</v>
      </c>
      <c r="E2589" s="181">
        <v>0.5</v>
      </c>
    </row>
    <row r="2590" spans="2:5" ht="12.75" x14ac:dyDescent="0.2">
      <c r="B2590" s="179" t="s">
        <v>3013</v>
      </c>
      <c r="C2590" s="180" t="s">
        <v>3011</v>
      </c>
      <c r="D2590" s="179" t="s">
        <v>216</v>
      </c>
      <c r="E2590" s="181">
        <v>0.5</v>
      </c>
    </row>
    <row r="2591" spans="2:5" ht="12.75" x14ac:dyDescent="0.2">
      <c r="B2591" s="179" t="s">
        <v>3014</v>
      </c>
      <c r="C2591" s="180" t="s">
        <v>3011</v>
      </c>
      <c r="D2591" s="179" t="s">
        <v>216</v>
      </c>
      <c r="E2591" s="181">
        <v>0.5</v>
      </c>
    </row>
    <row r="2592" spans="2:5" ht="12.75" x14ac:dyDescent="0.2">
      <c r="B2592" s="179" t="s">
        <v>3015</v>
      </c>
      <c r="C2592" s="180" t="s">
        <v>3011</v>
      </c>
      <c r="D2592" s="179" t="s">
        <v>216</v>
      </c>
      <c r="E2592" s="181">
        <v>0.5</v>
      </c>
    </row>
    <row r="2593" spans="2:5" ht="12.75" x14ac:dyDescent="0.2">
      <c r="B2593" s="179" t="s">
        <v>3016</v>
      </c>
      <c r="C2593" s="180" t="s">
        <v>3011</v>
      </c>
      <c r="D2593" s="179" t="s">
        <v>216</v>
      </c>
      <c r="E2593" s="181">
        <v>0.5</v>
      </c>
    </row>
    <row r="2594" spans="2:5" ht="12.75" x14ac:dyDescent="0.2">
      <c r="B2594" s="179" t="s">
        <v>3017</v>
      </c>
      <c r="C2594" s="180" t="s">
        <v>3011</v>
      </c>
      <c r="D2594" s="179" t="s">
        <v>216</v>
      </c>
      <c r="E2594" s="181">
        <v>0.5</v>
      </c>
    </row>
    <row r="2595" spans="2:5" ht="12.75" x14ac:dyDescent="0.2">
      <c r="B2595" s="179" t="s">
        <v>3018</v>
      </c>
      <c r="C2595" s="180" t="s">
        <v>3011</v>
      </c>
      <c r="D2595" s="179" t="s">
        <v>216</v>
      </c>
      <c r="E2595" s="181">
        <v>0.5</v>
      </c>
    </row>
    <row r="2596" spans="2:5" ht="12.75" x14ac:dyDescent="0.2">
      <c r="B2596" s="179" t="s">
        <v>3019</v>
      </c>
      <c r="C2596" s="180" t="s">
        <v>3020</v>
      </c>
      <c r="D2596" s="179" t="s">
        <v>214</v>
      </c>
      <c r="E2596" s="181">
        <v>0.1</v>
      </c>
    </row>
    <row r="2597" spans="2:5" ht="12.75" x14ac:dyDescent="0.2">
      <c r="B2597" s="179" t="s">
        <v>3021</v>
      </c>
      <c r="C2597" s="180" t="s">
        <v>3020</v>
      </c>
      <c r="D2597" s="179" t="s">
        <v>216</v>
      </c>
      <c r="E2597" s="181">
        <v>0.1</v>
      </c>
    </row>
    <row r="2598" spans="2:5" ht="12.75" x14ac:dyDescent="0.2">
      <c r="B2598" s="179" t="s">
        <v>3022</v>
      </c>
      <c r="C2598" s="180" t="s">
        <v>3020</v>
      </c>
      <c r="D2598" s="179" t="s">
        <v>216</v>
      </c>
      <c r="E2598" s="181">
        <v>0.1</v>
      </c>
    </row>
    <row r="2599" spans="2:5" ht="12.75" x14ac:dyDescent="0.2">
      <c r="B2599" s="179" t="s">
        <v>3023</v>
      </c>
      <c r="C2599" s="180" t="s">
        <v>3020</v>
      </c>
      <c r="D2599" s="179" t="s">
        <v>216</v>
      </c>
      <c r="E2599" s="181">
        <v>0.1</v>
      </c>
    </row>
    <row r="2600" spans="2:5" ht="12.75" x14ac:dyDescent="0.2">
      <c r="B2600" s="179" t="s">
        <v>3024</v>
      </c>
      <c r="C2600" s="180" t="s">
        <v>3020</v>
      </c>
      <c r="D2600" s="179" t="s">
        <v>216</v>
      </c>
      <c r="E2600" s="181">
        <v>0.1</v>
      </c>
    </row>
    <row r="2601" spans="2:5" ht="12.75" x14ac:dyDescent="0.2">
      <c r="B2601" s="179" t="s">
        <v>3025</v>
      </c>
      <c r="C2601" s="180" t="s">
        <v>3020</v>
      </c>
      <c r="D2601" s="179" t="s">
        <v>216</v>
      </c>
      <c r="E2601" s="181">
        <v>0.1</v>
      </c>
    </row>
    <row r="2602" spans="2:5" ht="12.75" x14ac:dyDescent="0.2">
      <c r="B2602" s="179" t="s">
        <v>3026</v>
      </c>
      <c r="C2602" s="180" t="s">
        <v>3020</v>
      </c>
      <c r="D2602" s="179" t="s">
        <v>216</v>
      </c>
      <c r="E2602" s="181">
        <v>0.1</v>
      </c>
    </row>
    <row r="2603" spans="2:5" ht="12.75" x14ac:dyDescent="0.2">
      <c r="B2603" s="179" t="s">
        <v>3027</v>
      </c>
      <c r="C2603" s="180" t="s">
        <v>3020</v>
      </c>
      <c r="D2603" s="179" t="s">
        <v>216</v>
      </c>
      <c r="E2603" s="181">
        <v>0.1</v>
      </c>
    </row>
    <row r="2604" spans="2:5" ht="12.75" x14ac:dyDescent="0.2">
      <c r="B2604" s="179" t="s">
        <v>3028</v>
      </c>
      <c r="C2604" s="180" t="s">
        <v>3020</v>
      </c>
      <c r="D2604" s="179" t="s">
        <v>216</v>
      </c>
      <c r="E2604" s="181">
        <v>0.1</v>
      </c>
    </row>
    <row r="2605" spans="2:5" ht="12.75" x14ac:dyDescent="0.2">
      <c r="B2605" s="179" t="s">
        <v>3029</v>
      </c>
      <c r="C2605" s="180" t="s">
        <v>3020</v>
      </c>
      <c r="D2605" s="179" t="s">
        <v>216</v>
      </c>
      <c r="E2605" s="181">
        <v>0.1</v>
      </c>
    </row>
    <row r="2606" spans="2:5" ht="12.75" x14ac:dyDescent="0.2">
      <c r="B2606" s="179" t="s">
        <v>3030</v>
      </c>
      <c r="C2606" s="180" t="s">
        <v>3020</v>
      </c>
      <c r="D2606" s="179" t="s">
        <v>216</v>
      </c>
      <c r="E2606" s="181">
        <v>0.1</v>
      </c>
    </row>
    <row r="2607" spans="2:5" ht="12.75" x14ac:dyDescent="0.2">
      <c r="B2607" s="179" t="s">
        <v>3031</v>
      </c>
      <c r="C2607" s="180" t="s">
        <v>3020</v>
      </c>
      <c r="D2607" s="179" t="s">
        <v>216</v>
      </c>
      <c r="E2607" s="181">
        <v>0.1</v>
      </c>
    </row>
    <row r="2608" spans="2:5" ht="12.75" x14ac:dyDescent="0.2">
      <c r="B2608" s="179" t="s">
        <v>3032</v>
      </c>
      <c r="C2608" s="180" t="s">
        <v>3020</v>
      </c>
      <c r="D2608" s="179" t="s">
        <v>216</v>
      </c>
      <c r="E2608" s="181">
        <v>0.1</v>
      </c>
    </row>
    <row r="2609" spans="2:5" ht="12.75" x14ac:dyDescent="0.2">
      <c r="B2609" s="179" t="s">
        <v>3033</v>
      </c>
      <c r="C2609" s="180" t="s">
        <v>3020</v>
      </c>
      <c r="D2609" s="179" t="s">
        <v>216</v>
      </c>
      <c r="E2609" s="181">
        <v>0.1</v>
      </c>
    </row>
    <row r="2610" spans="2:5" ht="12.75" x14ac:dyDescent="0.2">
      <c r="B2610" s="179" t="s">
        <v>3034</v>
      </c>
      <c r="C2610" s="180" t="s">
        <v>3020</v>
      </c>
      <c r="D2610" s="179" t="s">
        <v>216</v>
      </c>
      <c r="E2610" s="181">
        <v>0.1</v>
      </c>
    </row>
    <row r="2611" spans="2:5" ht="12.75" x14ac:dyDescent="0.2">
      <c r="B2611" s="179" t="s">
        <v>3035</v>
      </c>
      <c r="C2611" s="180" t="s">
        <v>3020</v>
      </c>
      <c r="D2611" s="179" t="s">
        <v>216</v>
      </c>
      <c r="E2611" s="181">
        <v>0.1</v>
      </c>
    </row>
    <row r="2612" spans="2:5" ht="12.75" x14ac:dyDescent="0.2">
      <c r="B2612" s="179" t="s">
        <v>3036</v>
      </c>
      <c r="C2612" s="180" t="s">
        <v>3020</v>
      </c>
      <c r="D2612" s="179" t="s">
        <v>216</v>
      </c>
      <c r="E2612" s="181">
        <v>0.1</v>
      </c>
    </row>
    <row r="2613" spans="2:5" ht="12.75" x14ac:dyDescent="0.2">
      <c r="B2613" s="179" t="s">
        <v>3037</v>
      </c>
      <c r="C2613" s="180" t="s">
        <v>3020</v>
      </c>
      <c r="D2613" s="179" t="s">
        <v>216</v>
      </c>
      <c r="E2613" s="181">
        <v>0.1</v>
      </c>
    </row>
    <row r="2614" spans="2:5" ht="12.75" x14ac:dyDescent="0.2">
      <c r="B2614" s="179" t="s">
        <v>3038</v>
      </c>
      <c r="C2614" s="180" t="s">
        <v>3039</v>
      </c>
      <c r="D2614" s="179" t="s">
        <v>214</v>
      </c>
      <c r="E2614" s="181">
        <v>0.1</v>
      </c>
    </row>
    <row r="2615" spans="2:5" ht="12.75" x14ac:dyDescent="0.2">
      <c r="B2615" s="179" t="s">
        <v>3040</v>
      </c>
      <c r="C2615" s="180" t="s">
        <v>3041</v>
      </c>
      <c r="D2615" s="179" t="s">
        <v>214</v>
      </c>
      <c r="E2615" s="181">
        <v>0.1</v>
      </c>
    </row>
    <row r="2616" spans="2:5" ht="12.75" x14ac:dyDescent="0.2">
      <c r="B2616" s="179" t="s">
        <v>3042</v>
      </c>
      <c r="C2616" s="180" t="s">
        <v>3041</v>
      </c>
      <c r="D2616" s="179" t="s">
        <v>216</v>
      </c>
      <c r="E2616" s="181">
        <v>0.1</v>
      </c>
    </row>
    <row r="2617" spans="2:5" ht="12.75" x14ac:dyDescent="0.2">
      <c r="B2617" s="179" t="s">
        <v>3043</v>
      </c>
      <c r="C2617" s="180" t="s">
        <v>3041</v>
      </c>
      <c r="D2617" s="179" t="s">
        <v>216</v>
      </c>
      <c r="E2617" s="181">
        <v>0.1</v>
      </c>
    </row>
    <row r="2618" spans="2:5" ht="12.75" x14ac:dyDescent="0.2">
      <c r="B2618" s="179" t="s">
        <v>3044</v>
      </c>
      <c r="C2618" s="180" t="s">
        <v>3041</v>
      </c>
      <c r="D2618" s="179" t="s">
        <v>216</v>
      </c>
      <c r="E2618" s="181">
        <v>0.1</v>
      </c>
    </row>
    <row r="2619" spans="2:5" ht="12.75" x14ac:dyDescent="0.2">
      <c r="B2619" s="179" t="s">
        <v>3045</v>
      </c>
      <c r="C2619" s="180" t="s">
        <v>3041</v>
      </c>
      <c r="D2619" s="179" t="s">
        <v>216</v>
      </c>
      <c r="E2619" s="181">
        <v>0.1</v>
      </c>
    </row>
    <row r="2620" spans="2:5" ht="12.75" x14ac:dyDescent="0.2">
      <c r="B2620" s="179" t="s">
        <v>3046</v>
      </c>
      <c r="C2620" s="180" t="s">
        <v>3041</v>
      </c>
      <c r="D2620" s="179" t="s">
        <v>216</v>
      </c>
      <c r="E2620" s="181">
        <v>0.1</v>
      </c>
    </row>
    <row r="2621" spans="2:5" ht="12.75" x14ac:dyDescent="0.2">
      <c r="B2621" s="179" t="s">
        <v>3047</v>
      </c>
      <c r="C2621" s="180" t="s">
        <v>3041</v>
      </c>
      <c r="D2621" s="179" t="s">
        <v>216</v>
      </c>
      <c r="E2621" s="181">
        <v>0.1</v>
      </c>
    </row>
    <row r="2622" spans="2:5" ht="12.75" x14ac:dyDescent="0.2">
      <c r="B2622" s="179" t="s">
        <v>3048</v>
      </c>
      <c r="C2622" s="180" t="s">
        <v>3041</v>
      </c>
      <c r="D2622" s="179" t="s">
        <v>216</v>
      </c>
      <c r="E2622" s="181">
        <v>0.1</v>
      </c>
    </row>
    <row r="2623" spans="2:5" ht="12.75" x14ac:dyDescent="0.2">
      <c r="B2623" s="179" t="s">
        <v>3049</v>
      </c>
      <c r="C2623" s="180" t="s">
        <v>3041</v>
      </c>
      <c r="D2623" s="179" t="s">
        <v>216</v>
      </c>
      <c r="E2623" s="181">
        <v>0.1</v>
      </c>
    </row>
    <row r="2624" spans="2:5" ht="12.75" x14ac:dyDescent="0.2">
      <c r="B2624" s="179" t="s">
        <v>3050</v>
      </c>
      <c r="C2624" s="180" t="s">
        <v>3041</v>
      </c>
      <c r="D2624" s="179" t="s">
        <v>216</v>
      </c>
      <c r="E2624" s="181">
        <v>0.1</v>
      </c>
    </row>
    <row r="2625" spans="2:5" ht="12.75" x14ac:dyDescent="0.2">
      <c r="B2625" s="179" t="s">
        <v>3051</v>
      </c>
      <c r="C2625" s="180" t="s">
        <v>3041</v>
      </c>
      <c r="D2625" s="179" t="s">
        <v>216</v>
      </c>
      <c r="E2625" s="181">
        <v>0.1</v>
      </c>
    </row>
    <row r="2626" spans="2:5" ht="12.75" x14ac:dyDescent="0.2">
      <c r="B2626" s="179" t="s">
        <v>3052</v>
      </c>
      <c r="C2626" s="180" t="s">
        <v>3041</v>
      </c>
      <c r="D2626" s="179" t="s">
        <v>216</v>
      </c>
      <c r="E2626" s="181">
        <v>0.1</v>
      </c>
    </row>
    <row r="2627" spans="2:5" ht="12.75" x14ac:dyDescent="0.2">
      <c r="B2627" s="179" t="s">
        <v>3053</v>
      </c>
      <c r="C2627" s="180" t="s">
        <v>3041</v>
      </c>
      <c r="D2627" s="179" t="s">
        <v>216</v>
      </c>
      <c r="E2627" s="181">
        <v>0.1</v>
      </c>
    </row>
    <row r="2628" spans="2:5" ht="12.75" x14ac:dyDescent="0.2">
      <c r="B2628" s="179" t="s">
        <v>3054</v>
      </c>
      <c r="C2628" s="180" t="s">
        <v>3041</v>
      </c>
      <c r="D2628" s="179" t="s">
        <v>216</v>
      </c>
      <c r="E2628" s="181">
        <v>0.1</v>
      </c>
    </row>
    <row r="2629" spans="2:5" ht="12.75" x14ac:dyDescent="0.2">
      <c r="B2629" s="179" t="s">
        <v>3055</v>
      </c>
      <c r="C2629" s="180" t="s">
        <v>3041</v>
      </c>
      <c r="D2629" s="179" t="s">
        <v>216</v>
      </c>
      <c r="E2629" s="181">
        <v>0.1</v>
      </c>
    </row>
    <row r="2630" spans="2:5" ht="12.75" x14ac:dyDescent="0.2">
      <c r="B2630" s="179" t="s">
        <v>3056</v>
      </c>
      <c r="C2630" s="180" t="s">
        <v>3041</v>
      </c>
      <c r="D2630" s="179" t="s">
        <v>216</v>
      </c>
      <c r="E2630" s="181">
        <v>0.1</v>
      </c>
    </row>
    <row r="2631" spans="2:5" ht="12.75" x14ac:dyDescent="0.2">
      <c r="B2631" s="179" t="s">
        <v>3057</v>
      </c>
      <c r="C2631" s="180" t="s">
        <v>3041</v>
      </c>
      <c r="D2631" s="179" t="s">
        <v>216</v>
      </c>
      <c r="E2631" s="181">
        <v>0.1</v>
      </c>
    </row>
    <row r="2632" spans="2:5" ht="12.75" x14ac:dyDescent="0.2">
      <c r="B2632" s="179" t="s">
        <v>3058</v>
      </c>
      <c r="C2632" s="180" t="s">
        <v>3041</v>
      </c>
      <c r="D2632" s="179" t="s">
        <v>216</v>
      </c>
      <c r="E2632" s="181">
        <v>0.1</v>
      </c>
    </row>
    <row r="2633" spans="2:5" ht="12.75" x14ac:dyDescent="0.2">
      <c r="B2633" s="179" t="s">
        <v>3059</v>
      </c>
      <c r="C2633" s="180" t="s">
        <v>3041</v>
      </c>
      <c r="D2633" s="179" t="s">
        <v>216</v>
      </c>
      <c r="E2633" s="181">
        <v>0.1</v>
      </c>
    </row>
    <row r="2634" spans="2:5" ht="12.75" x14ac:dyDescent="0.2">
      <c r="B2634" s="179" t="s">
        <v>3060</v>
      </c>
      <c r="C2634" s="180" t="s">
        <v>3041</v>
      </c>
      <c r="D2634" s="179" t="s">
        <v>216</v>
      </c>
      <c r="E2634" s="181">
        <v>0.1</v>
      </c>
    </row>
    <row r="2635" spans="2:5" ht="12.75" x14ac:dyDescent="0.2">
      <c r="B2635" s="179" t="s">
        <v>3061</v>
      </c>
      <c r="C2635" s="180" t="s">
        <v>3041</v>
      </c>
      <c r="D2635" s="179" t="s">
        <v>216</v>
      </c>
      <c r="E2635" s="181">
        <v>0.1</v>
      </c>
    </row>
    <row r="2636" spans="2:5" ht="12.75" x14ac:dyDescent="0.2">
      <c r="B2636" s="179" t="s">
        <v>3062</v>
      </c>
      <c r="C2636" s="180" t="s">
        <v>3041</v>
      </c>
      <c r="D2636" s="179" t="s">
        <v>216</v>
      </c>
      <c r="E2636" s="181">
        <v>0.1</v>
      </c>
    </row>
    <row r="2637" spans="2:5" ht="12.75" x14ac:dyDescent="0.2">
      <c r="B2637" s="179" t="s">
        <v>3063</v>
      </c>
      <c r="C2637" s="180" t="s">
        <v>3041</v>
      </c>
      <c r="D2637" s="179" t="s">
        <v>216</v>
      </c>
      <c r="E2637" s="181">
        <v>0.1</v>
      </c>
    </row>
    <row r="2638" spans="2:5" ht="12.75" x14ac:dyDescent="0.2">
      <c r="B2638" s="179" t="s">
        <v>3064</v>
      </c>
      <c r="C2638" s="180" t="s">
        <v>3041</v>
      </c>
      <c r="D2638" s="179" t="s">
        <v>216</v>
      </c>
      <c r="E2638" s="181">
        <v>0.1</v>
      </c>
    </row>
    <row r="2639" spans="2:5" ht="12.75" x14ac:dyDescent="0.2">
      <c r="B2639" s="179" t="s">
        <v>3065</v>
      </c>
      <c r="C2639" s="180" t="s">
        <v>3041</v>
      </c>
      <c r="D2639" s="179" t="s">
        <v>216</v>
      </c>
      <c r="E2639" s="181">
        <v>0.1</v>
      </c>
    </row>
    <row r="2640" spans="2:5" ht="12.75" x14ac:dyDescent="0.2">
      <c r="B2640" s="179" t="s">
        <v>3066</v>
      </c>
      <c r="C2640" s="180" t="s">
        <v>3067</v>
      </c>
      <c r="D2640" s="179" t="s">
        <v>214</v>
      </c>
      <c r="E2640" s="181">
        <v>0.5</v>
      </c>
    </row>
    <row r="2641" spans="2:5" ht="12.75" x14ac:dyDescent="0.2">
      <c r="B2641" s="179" t="s">
        <v>3068</v>
      </c>
      <c r="C2641" s="180" t="s">
        <v>3067</v>
      </c>
      <c r="D2641" s="179" t="s">
        <v>214</v>
      </c>
      <c r="E2641" s="181">
        <v>0.5</v>
      </c>
    </row>
    <row r="2642" spans="2:5" ht="12.75" x14ac:dyDescent="0.2">
      <c r="B2642" s="179" t="s">
        <v>3069</v>
      </c>
      <c r="C2642" s="180" t="s">
        <v>3067</v>
      </c>
      <c r="D2642" s="179" t="s">
        <v>214</v>
      </c>
      <c r="E2642" s="181">
        <v>0.5</v>
      </c>
    </row>
    <row r="2643" spans="2:5" ht="12.75" x14ac:dyDescent="0.2">
      <c r="B2643" s="179" t="s">
        <v>3070</v>
      </c>
      <c r="C2643" s="180" t="s">
        <v>3067</v>
      </c>
      <c r="D2643" s="179" t="s">
        <v>214</v>
      </c>
      <c r="E2643" s="181">
        <v>0.5</v>
      </c>
    </row>
    <row r="2644" spans="2:5" ht="12.75" x14ac:dyDescent="0.2">
      <c r="B2644" s="179" t="s">
        <v>3071</v>
      </c>
      <c r="C2644" s="180" t="s">
        <v>3067</v>
      </c>
      <c r="D2644" s="179" t="s">
        <v>214</v>
      </c>
      <c r="E2644" s="181">
        <v>0.5</v>
      </c>
    </row>
    <row r="2645" spans="2:5" ht="12.75" x14ac:dyDescent="0.2">
      <c r="B2645" s="179" t="s">
        <v>3072</v>
      </c>
      <c r="C2645" s="180" t="s">
        <v>3067</v>
      </c>
      <c r="D2645" s="179" t="s">
        <v>214</v>
      </c>
      <c r="E2645" s="181">
        <v>0.5</v>
      </c>
    </row>
    <row r="2646" spans="2:5" ht="12.75" x14ac:dyDescent="0.2">
      <c r="B2646" s="179" t="s">
        <v>3073</v>
      </c>
      <c r="C2646" s="180" t="s">
        <v>3067</v>
      </c>
      <c r="D2646" s="179" t="s">
        <v>214</v>
      </c>
      <c r="E2646" s="181">
        <v>0.5</v>
      </c>
    </row>
    <row r="2647" spans="2:5" ht="12.75" x14ac:dyDescent="0.2">
      <c r="B2647" s="179" t="s">
        <v>3074</v>
      </c>
      <c r="C2647" s="180" t="s">
        <v>3067</v>
      </c>
      <c r="D2647" s="179" t="s">
        <v>214</v>
      </c>
      <c r="E2647" s="181">
        <v>0.5</v>
      </c>
    </row>
    <row r="2648" spans="2:5" ht="12.75" x14ac:dyDescent="0.2">
      <c r="B2648" s="179" t="s">
        <v>3075</v>
      </c>
      <c r="C2648" s="180" t="s">
        <v>3067</v>
      </c>
      <c r="D2648" s="179" t="s">
        <v>214</v>
      </c>
      <c r="E2648" s="181">
        <v>0.5</v>
      </c>
    </row>
    <row r="2649" spans="2:5" ht="12.75" x14ac:dyDescent="0.2">
      <c r="B2649" s="179" t="s">
        <v>3076</v>
      </c>
      <c r="C2649" s="180" t="s">
        <v>3067</v>
      </c>
      <c r="D2649" s="179" t="s">
        <v>214</v>
      </c>
      <c r="E2649" s="181">
        <v>0.5</v>
      </c>
    </row>
    <row r="2650" spans="2:5" ht="12.75" x14ac:dyDescent="0.2">
      <c r="B2650" s="179" t="s">
        <v>3077</v>
      </c>
      <c r="C2650" s="180" t="s">
        <v>3067</v>
      </c>
      <c r="D2650" s="179" t="s">
        <v>214</v>
      </c>
      <c r="E2650" s="181">
        <v>0.5</v>
      </c>
    </row>
    <row r="2651" spans="2:5" ht="12.75" x14ac:dyDescent="0.2">
      <c r="B2651" s="179" t="s">
        <v>3078</v>
      </c>
      <c r="C2651" s="180" t="s">
        <v>3067</v>
      </c>
      <c r="D2651" s="179" t="s">
        <v>214</v>
      </c>
      <c r="E2651" s="181">
        <v>0.5</v>
      </c>
    </row>
    <row r="2652" spans="2:5" ht="12.75" x14ac:dyDescent="0.2">
      <c r="B2652" s="179" t="s">
        <v>3079</v>
      </c>
      <c r="C2652" s="180" t="s">
        <v>3067</v>
      </c>
      <c r="D2652" s="179" t="s">
        <v>214</v>
      </c>
      <c r="E2652" s="181">
        <v>0.5</v>
      </c>
    </row>
    <row r="2653" spans="2:5" ht="12.75" x14ac:dyDescent="0.2">
      <c r="B2653" s="179" t="s">
        <v>3080</v>
      </c>
      <c r="C2653" s="180" t="s">
        <v>3067</v>
      </c>
      <c r="D2653" s="179" t="s">
        <v>214</v>
      </c>
      <c r="E2653" s="181">
        <v>0.5</v>
      </c>
    </row>
    <row r="2654" spans="2:5" ht="12.75" x14ac:dyDescent="0.2">
      <c r="B2654" s="179" t="s">
        <v>3081</v>
      </c>
      <c r="C2654" s="180" t="s">
        <v>3067</v>
      </c>
      <c r="D2654" s="179" t="s">
        <v>214</v>
      </c>
      <c r="E2654" s="181">
        <v>0.5</v>
      </c>
    </row>
    <row r="2655" spans="2:5" ht="12.75" x14ac:dyDescent="0.2">
      <c r="B2655" s="179" t="s">
        <v>3082</v>
      </c>
      <c r="C2655" s="180" t="s">
        <v>3067</v>
      </c>
      <c r="D2655" s="179" t="s">
        <v>214</v>
      </c>
      <c r="E2655" s="181">
        <v>0.5</v>
      </c>
    </row>
    <row r="2656" spans="2:5" ht="12.75" x14ac:dyDescent="0.2">
      <c r="B2656" s="179" t="s">
        <v>3083</v>
      </c>
      <c r="C2656" s="180" t="s">
        <v>3067</v>
      </c>
      <c r="D2656" s="179" t="s">
        <v>214</v>
      </c>
      <c r="E2656" s="181">
        <v>0.5</v>
      </c>
    </row>
    <row r="2657" spans="2:5" ht="12.75" x14ac:dyDescent="0.2">
      <c r="B2657" s="179" t="s">
        <v>3084</v>
      </c>
      <c r="C2657" s="180" t="s">
        <v>3067</v>
      </c>
      <c r="D2657" s="179" t="s">
        <v>214</v>
      </c>
      <c r="E2657" s="181">
        <v>0.5</v>
      </c>
    </row>
    <row r="2658" spans="2:5" ht="12.75" x14ac:dyDescent="0.2">
      <c r="B2658" s="179" t="s">
        <v>3085</v>
      </c>
      <c r="C2658" s="180" t="s">
        <v>3067</v>
      </c>
      <c r="D2658" s="179" t="s">
        <v>214</v>
      </c>
      <c r="E2658" s="181">
        <v>0.5</v>
      </c>
    </row>
    <row r="2659" spans="2:5" ht="12.75" x14ac:dyDescent="0.2">
      <c r="B2659" s="179" t="s">
        <v>3086</v>
      </c>
      <c r="C2659" s="180" t="s">
        <v>3067</v>
      </c>
      <c r="D2659" s="179" t="s">
        <v>214</v>
      </c>
      <c r="E2659" s="181">
        <v>0.5</v>
      </c>
    </row>
    <row r="2660" spans="2:5" ht="12.75" x14ac:dyDescent="0.2">
      <c r="B2660" s="179" t="s">
        <v>3087</v>
      </c>
      <c r="C2660" s="180" t="s">
        <v>3067</v>
      </c>
      <c r="D2660" s="179" t="s">
        <v>214</v>
      </c>
      <c r="E2660" s="181">
        <v>0.5</v>
      </c>
    </row>
    <row r="2661" spans="2:5" ht="12.75" x14ac:dyDescent="0.2">
      <c r="B2661" s="179" t="s">
        <v>3088</v>
      </c>
      <c r="C2661" s="180" t="s">
        <v>3067</v>
      </c>
      <c r="D2661" s="179" t="s">
        <v>214</v>
      </c>
      <c r="E2661" s="181">
        <v>0.5</v>
      </c>
    </row>
    <row r="2662" spans="2:5" ht="12.75" x14ac:dyDescent="0.2">
      <c r="B2662" s="179" t="s">
        <v>3089</v>
      </c>
      <c r="C2662" s="180" t="s">
        <v>3067</v>
      </c>
      <c r="D2662" s="179" t="s">
        <v>214</v>
      </c>
      <c r="E2662" s="181">
        <v>0.5</v>
      </c>
    </row>
    <row r="2663" spans="2:5" ht="12.75" x14ac:dyDescent="0.2">
      <c r="B2663" s="179" t="s">
        <v>3090</v>
      </c>
      <c r="C2663" s="180" t="s">
        <v>3067</v>
      </c>
      <c r="D2663" s="179" t="s">
        <v>214</v>
      </c>
      <c r="E2663" s="181">
        <v>0.5</v>
      </c>
    </row>
    <row r="2664" spans="2:5" ht="12.75" x14ac:dyDescent="0.2">
      <c r="B2664" s="179" t="s">
        <v>3091</v>
      </c>
      <c r="C2664" s="180" t="s">
        <v>3092</v>
      </c>
      <c r="D2664" s="179" t="s">
        <v>216</v>
      </c>
      <c r="E2664" s="181">
        <v>0.5</v>
      </c>
    </row>
    <row r="2665" spans="2:5" ht="12.75" x14ac:dyDescent="0.2">
      <c r="B2665" s="179" t="s">
        <v>3093</v>
      </c>
      <c r="C2665" s="180" t="s">
        <v>3092</v>
      </c>
      <c r="D2665" s="179" t="s">
        <v>216</v>
      </c>
      <c r="E2665" s="181">
        <v>0.5</v>
      </c>
    </row>
    <row r="2666" spans="2:5" ht="12.75" x14ac:dyDescent="0.2">
      <c r="B2666" s="179" t="s">
        <v>3094</v>
      </c>
      <c r="C2666" s="180" t="s">
        <v>3092</v>
      </c>
      <c r="D2666" s="179" t="s">
        <v>216</v>
      </c>
      <c r="E2666" s="181">
        <v>0.5</v>
      </c>
    </row>
    <row r="2667" spans="2:5" ht="12.75" x14ac:dyDescent="0.2">
      <c r="B2667" s="179" t="s">
        <v>3095</v>
      </c>
      <c r="C2667" s="180" t="s">
        <v>3096</v>
      </c>
      <c r="D2667" s="179" t="s">
        <v>216</v>
      </c>
      <c r="E2667" s="181">
        <v>0.5</v>
      </c>
    </row>
    <row r="2668" spans="2:5" ht="12.75" x14ac:dyDescent="0.2">
      <c r="B2668" s="179" t="s">
        <v>3097</v>
      </c>
      <c r="C2668" s="180" t="s">
        <v>3096</v>
      </c>
      <c r="D2668" s="179" t="s">
        <v>216</v>
      </c>
      <c r="E2668" s="181">
        <v>0.5</v>
      </c>
    </row>
    <row r="2669" spans="2:5" ht="12.75" x14ac:dyDescent="0.2">
      <c r="B2669" s="179" t="s">
        <v>3097</v>
      </c>
      <c r="C2669" s="180" t="s">
        <v>3096</v>
      </c>
      <c r="D2669" s="179" t="s">
        <v>214</v>
      </c>
      <c r="E2669" s="181">
        <v>0.5</v>
      </c>
    </row>
    <row r="2670" spans="2:5" ht="12.75" x14ac:dyDescent="0.2">
      <c r="B2670" s="179" t="s">
        <v>3098</v>
      </c>
      <c r="C2670" s="180" t="s">
        <v>3099</v>
      </c>
      <c r="D2670" s="179" t="s">
        <v>214</v>
      </c>
      <c r="E2670" s="181">
        <v>0.1</v>
      </c>
    </row>
    <row r="2671" spans="2:5" ht="12.75" x14ac:dyDescent="0.2">
      <c r="B2671" s="179" t="s">
        <v>3100</v>
      </c>
      <c r="C2671" s="180" t="s">
        <v>3101</v>
      </c>
      <c r="D2671" s="179" t="s">
        <v>216</v>
      </c>
      <c r="E2671" s="181">
        <v>0.5</v>
      </c>
    </row>
    <row r="2672" spans="2:5" ht="12.75" x14ac:dyDescent="0.2">
      <c r="B2672" s="179" t="s">
        <v>3102</v>
      </c>
      <c r="C2672" s="180" t="s">
        <v>3101</v>
      </c>
      <c r="D2672" s="179" t="s">
        <v>216</v>
      </c>
      <c r="E2672" s="181">
        <v>0.5</v>
      </c>
    </row>
    <row r="2673" spans="2:5" ht="12.75" x14ac:dyDescent="0.2">
      <c r="B2673" s="179" t="s">
        <v>3103</v>
      </c>
      <c r="C2673" s="180" t="s">
        <v>3101</v>
      </c>
      <c r="D2673" s="179" t="s">
        <v>216</v>
      </c>
      <c r="E2673" s="181">
        <v>0.5</v>
      </c>
    </row>
    <row r="2674" spans="2:5" ht="12.75" x14ac:dyDescent="0.2">
      <c r="B2674" s="179" t="s">
        <v>3104</v>
      </c>
      <c r="C2674" s="180" t="s">
        <v>3101</v>
      </c>
      <c r="D2674" s="179" t="s">
        <v>216</v>
      </c>
      <c r="E2674" s="181">
        <v>0.5</v>
      </c>
    </row>
    <row r="2675" spans="2:5" ht="12.75" x14ac:dyDescent="0.2">
      <c r="B2675" s="179" t="s">
        <v>3105</v>
      </c>
      <c r="C2675" s="180" t="s">
        <v>3101</v>
      </c>
      <c r="D2675" s="179" t="s">
        <v>216</v>
      </c>
      <c r="E2675" s="181">
        <v>0.5</v>
      </c>
    </row>
    <row r="2676" spans="2:5" ht="12.75" x14ac:dyDescent="0.2">
      <c r="B2676" s="179" t="s">
        <v>3106</v>
      </c>
      <c r="C2676" s="180" t="s">
        <v>3101</v>
      </c>
      <c r="D2676" s="179" t="s">
        <v>216</v>
      </c>
      <c r="E2676" s="181">
        <v>0.5</v>
      </c>
    </row>
    <row r="2677" spans="2:5" ht="12.75" x14ac:dyDescent="0.2">
      <c r="B2677" s="179" t="s">
        <v>3107</v>
      </c>
      <c r="C2677" s="180" t="s">
        <v>3101</v>
      </c>
      <c r="D2677" s="179" t="s">
        <v>216</v>
      </c>
      <c r="E2677" s="181">
        <v>0.5</v>
      </c>
    </row>
    <row r="2678" spans="2:5" ht="12.75" x14ac:dyDescent="0.2">
      <c r="B2678" s="179" t="s">
        <v>3108</v>
      </c>
      <c r="C2678" s="180" t="s">
        <v>3109</v>
      </c>
      <c r="D2678" s="179" t="s">
        <v>214</v>
      </c>
      <c r="E2678" s="181">
        <v>2</v>
      </c>
    </row>
    <row r="2679" spans="2:5" ht="12.75" x14ac:dyDescent="0.2">
      <c r="B2679" s="179" t="s">
        <v>3110</v>
      </c>
      <c r="C2679" s="180" t="s">
        <v>3109</v>
      </c>
      <c r="D2679" s="179" t="s">
        <v>214</v>
      </c>
      <c r="E2679" s="181">
        <v>2</v>
      </c>
    </row>
    <row r="2680" spans="2:5" ht="12.75" x14ac:dyDescent="0.2">
      <c r="B2680" s="179" t="s">
        <v>3111</v>
      </c>
      <c r="C2680" s="180" t="s">
        <v>3112</v>
      </c>
      <c r="D2680" s="179" t="s">
        <v>214</v>
      </c>
      <c r="E2680" s="181">
        <v>0.1</v>
      </c>
    </row>
    <row r="2681" spans="2:5" ht="12.75" x14ac:dyDescent="0.2">
      <c r="B2681" s="179" t="s">
        <v>3113</v>
      </c>
      <c r="C2681" s="180" t="s">
        <v>3112</v>
      </c>
      <c r="D2681" s="179" t="s">
        <v>216</v>
      </c>
      <c r="E2681" s="181">
        <v>0.5</v>
      </c>
    </row>
    <row r="2682" spans="2:5" ht="12.75" x14ac:dyDescent="0.2">
      <c r="B2682" s="179" t="s">
        <v>3114</v>
      </c>
      <c r="C2682" s="180" t="s">
        <v>3112</v>
      </c>
      <c r="D2682" s="179" t="s">
        <v>216</v>
      </c>
      <c r="E2682" s="181">
        <v>0.5</v>
      </c>
    </row>
    <row r="2683" spans="2:5" ht="12.75" x14ac:dyDescent="0.2">
      <c r="B2683" s="179" t="s">
        <v>3115</v>
      </c>
      <c r="C2683" s="180" t="s">
        <v>3112</v>
      </c>
      <c r="D2683" s="179" t="s">
        <v>216</v>
      </c>
      <c r="E2683" s="181">
        <v>0.5</v>
      </c>
    </row>
    <row r="2684" spans="2:5" ht="12.75" x14ac:dyDescent="0.2">
      <c r="B2684" s="179" t="s">
        <v>3116</v>
      </c>
      <c r="C2684" s="180" t="s">
        <v>3112</v>
      </c>
      <c r="D2684" s="179" t="s">
        <v>216</v>
      </c>
      <c r="E2684" s="181">
        <v>0.5</v>
      </c>
    </row>
    <row r="2685" spans="2:5" ht="12.75" x14ac:dyDescent="0.2">
      <c r="B2685" s="179" t="s">
        <v>3117</v>
      </c>
      <c r="C2685" s="180" t="s">
        <v>3112</v>
      </c>
      <c r="D2685" s="179" t="s">
        <v>216</v>
      </c>
      <c r="E2685" s="181">
        <v>0.5</v>
      </c>
    </row>
    <row r="2686" spans="2:5" ht="12.75" x14ac:dyDescent="0.2">
      <c r="B2686" s="179" t="s">
        <v>3118</v>
      </c>
      <c r="C2686" s="180" t="s">
        <v>3112</v>
      </c>
      <c r="D2686" s="179" t="s">
        <v>216</v>
      </c>
      <c r="E2686" s="181">
        <v>0.5</v>
      </c>
    </row>
    <row r="2687" spans="2:5" ht="12.75" x14ac:dyDescent="0.2">
      <c r="B2687" s="179" t="s">
        <v>3119</v>
      </c>
      <c r="C2687" s="180" t="s">
        <v>3112</v>
      </c>
      <c r="D2687" s="179" t="s">
        <v>216</v>
      </c>
      <c r="E2687" s="181">
        <v>0.5</v>
      </c>
    </row>
    <row r="2688" spans="2:5" ht="12.75" x14ac:dyDescent="0.2">
      <c r="B2688" s="179" t="s">
        <v>3120</v>
      </c>
      <c r="C2688" s="180" t="s">
        <v>3112</v>
      </c>
      <c r="D2688" s="179" t="s">
        <v>216</v>
      </c>
      <c r="E2688" s="181">
        <v>0.5</v>
      </c>
    </row>
    <row r="2689" spans="2:5" ht="12.75" x14ac:dyDescent="0.2">
      <c r="B2689" s="179" t="s">
        <v>3121</v>
      </c>
      <c r="C2689" s="180" t="s">
        <v>3112</v>
      </c>
      <c r="D2689" s="179" t="s">
        <v>216</v>
      </c>
      <c r="E2689" s="181">
        <v>0.5</v>
      </c>
    </row>
    <row r="2690" spans="2:5" ht="12.75" x14ac:dyDescent="0.2">
      <c r="B2690" s="179" t="s">
        <v>3122</v>
      </c>
      <c r="C2690" s="180" t="s">
        <v>3112</v>
      </c>
      <c r="D2690" s="179" t="s">
        <v>216</v>
      </c>
      <c r="E2690" s="181">
        <v>0.5</v>
      </c>
    </row>
    <row r="2691" spans="2:5" ht="12.75" x14ac:dyDescent="0.2">
      <c r="B2691" s="179" t="s">
        <v>3123</v>
      </c>
      <c r="C2691" s="180" t="s">
        <v>3124</v>
      </c>
      <c r="D2691" s="179" t="s">
        <v>214</v>
      </c>
      <c r="E2691" s="181">
        <v>0.1</v>
      </c>
    </row>
    <row r="2692" spans="2:5" ht="12.75" x14ac:dyDescent="0.2">
      <c r="B2692" s="179" t="s">
        <v>3125</v>
      </c>
      <c r="C2692" s="180" t="s">
        <v>3124</v>
      </c>
      <c r="D2692" s="179" t="s">
        <v>216</v>
      </c>
      <c r="E2692" s="181">
        <v>0.1</v>
      </c>
    </row>
    <row r="2693" spans="2:5" ht="12.75" x14ac:dyDescent="0.2">
      <c r="B2693" s="179" t="s">
        <v>3126</v>
      </c>
      <c r="C2693" s="180" t="s">
        <v>3124</v>
      </c>
      <c r="D2693" s="179" t="s">
        <v>216</v>
      </c>
      <c r="E2693" s="181">
        <v>0.1</v>
      </c>
    </row>
    <row r="2694" spans="2:5" ht="12.75" x14ac:dyDescent="0.2">
      <c r="B2694" s="179" t="s">
        <v>3127</v>
      </c>
      <c r="C2694" s="180" t="s">
        <v>3124</v>
      </c>
      <c r="D2694" s="179" t="s">
        <v>216</v>
      </c>
      <c r="E2694" s="181">
        <v>0.1</v>
      </c>
    </row>
    <row r="2695" spans="2:5" ht="12.75" x14ac:dyDescent="0.2">
      <c r="B2695" s="179" t="s">
        <v>3128</v>
      </c>
      <c r="C2695" s="180" t="s">
        <v>3124</v>
      </c>
      <c r="D2695" s="179" t="s">
        <v>216</v>
      </c>
      <c r="E2695" s="181">
        <v>0.1</v>
      </c>
    </row>
    <row r="2696" spans="2:5" ht="12.75" x14ac:dyDescent="0.2">
      <c r="B2696" s="179" t="s">
        <v>3129</v>
      </c>
      <c r="C2696" s="180" t="s">
        <v>3124</v>
      </c>
      <c r="D2696" s="179" t="s">
        <v>216</v>
      </c>
      <c r="E2696" s="181">
        <v>0.1</v>
      </c>
    </row>
    <row r="2697" spans="2:5" ht="12.75" x14ac:dyDescent="0.2">
      <c r="B2697" s="179" t="s">
        <v>3130</v>
      </c>
      <c r="C2697" s="180" t="s">
        <v>3124</v>
      </c>
      <c r="D2697" s="179" t="s">
        <v>216</v>
      </c>
      <c r="E2697" s="181">
        <v>0.1</v>
      </c>
    </row>
    <row r="2698" spans="2:5" ht="12.75" x14ac:dyDescent="0.2">
      <c r="B2698" s="179" t="s">
        <v>3131</v>
      </c>
      <c r="C2698" s="180" t="s">
        <v>3124</v>
      </c>
      <c r="D2698" s="179" t="s">
        <v>216</v>
      </c>
      <c r="E2698" s="181">
        <v>0.1</v>
      </c>
    </row>
    <row r="2699" spans="2:5" ht="12.75" x14ac:dyDescent="0.2">
      <c r="B2699" s="179" t="s">
        <v>3132</v>
      </c>
      <c r="C2699" s="180" t="s">
        <v>3124</v>
      </c>
      <c r="D2699" s="179" t="s">
        <v>216</v>
      </c>
      <c r="E2699" s="181">
        <v>0.1</v>
      </c>
    </row>
    <row r="2700" spans="2:5" ht="12.75" x14ac:dyDescent="0.2">
      <c r="B2700" s="179" t="s">
        <v>3133</v>
      </c>
      <c r="C2700" s="180" t="s">
        <v>3124</v>
      </c>
      <c r="D2700" s="179" t="s">
        <v>216</v>
      </c>
      <c r="E2700" s="181">
        <v>0.1</v>
      </c>
    </row>
    <row r="2701" spans="2:5" ht="12.75" x14ac:dyDescent="0.2">
      <c r="B2701" s="179" t="s">
        <v>3134</v>
      </c>
      <c r="C2701" s="180" t="s">
        <v>3124</v>
      </c>
      <c r="D2701" s="179" t="s">
        <v>216</v>
      </c>
      <c r="E2701" s="181">
        <v>0.1</v>
      </c>
    </row>
    <row r="2702" spans="2:5" ht="12.75" x14ac:dyDescent="0.2">
      <c r="B2702" s="179" t="s">
        <v>3135</v>
      </c>
      <c r="C2702" s="180" t="s">
        <v>3124</v>
      </c>
      <c r="D2702" s="179" t="s">
        <v>216</v>
      </c>
      <c r="E2702" s="181">
        <v>0.1</v>
      </c>
    </row>
    <row r="2703" spans="2:5" ht="12.75" x14ac:dyDescent="0.2">
      <c r="B2703" s="179" t="s">
        <v>3136</v>
      </c>
      <c r="C2703" s="180" t="s">
        <v>3124</v>
      </c>
      <c r="D2703" s="179" t="s">
        <v>216</v>
      </c>
      <c r="E2703" s="181">
        <v>0.1</v>
      </c>
    </row>
    <row r="2704" spans="2:5" ht="12.75" x14ac:dyDescent="0.2">
      <c r="B2704" s="179" t="s">
        <v>3137</v>
      </c>
      <c r="C2704" s="180" t="s">
        <v>3124</v>
      </c>
      <c r="D2704" s="179" t="s">
        <v>216</v>
      </c>
      <c r="E2704" s="181">
        <v>0.1</v>
      </c>
    </row>
    <row r="2705" spans="2:5" ht="12.75" x14ac:dyDescent="0.2">
      <c r="B2705" s="179" t="s">
        <v>3138</v>
      </c>
      <c r="C2705" s="180" t="s">
        <v>3124</v>
      </c>
      <c r="D2705" s="179" t="s">
        <v>216</v>
      </c>
      <c r="E2705" s="181">
        <v>0.1</v>
      </c>
    </row>
    <row r="2706" spans="2:5" ht="12.75" x14ac:dyDescent="0.2">
      <c r="B2706" s="179" t="s">
        <v>3139</v>
      </c>
      <c r="C2706" s="180" t="s">
        <v>3124</v>
      </c>
      <c r="D2706" s="179" t="s">
        <v>216</v>
      </c>
      <c r="E2706" s="181">
        <v>0.1</v>
      </c>
    </row>
    <row r="2707" spans="2:5" ht="12.75" x14ac:dyDescent="0.2">
      <c r="B2707" s="179" t="s">
        <v>3140</v>
      </c>
      <c r="C2707" s="180" t="s">
        <v>3124</v>
      </c>
      <c r="D2707" s="179" t="s">
        <v>216</v>
      </c>
      <c r="E2707" s="181">
        <v>0.1</v>
      </c>
    </row>
    <row r="2708" spans="2:5" ht="12.75" x14ac:dyDescent="0.2">
      <c r="B2708" s="179" t="s">
        <v>3141</v>
      </c>
      <c r="C2708" s="180" t="s">
        <v>3124</v>
      </c>
      <c r="D2708" s="179" t="s">
        <v>216</v>
      </c>
      <c r="E2708" s="181">
        <v>0.1</v>
      </c>
    </row>
    <row r="2709" spans="2:5" ht="12.75" x14ac:dyDescent="0.2">
      <c r="B2709" s="179" t="s">
        <v>3142</v>
      </c>
      <c r="C2709" s="180" t="s">
        <v>3124</v>
      </c>
      <c r="D2709" s="179" t="s">
        <v>216</v>
      </c>
      <c r="E2709" s="181">
        <v>0.1</v>
      </c>
    </row>
    <row r="2710" spans="2:5" ht="12.75" x14ac:dyDescent="0.2">
      <c r="B2710" s="179" t="s">
        <v>3143</v>
      </c>
      <c r="C2710" s="180" t="s">
        <v>3124</v>
      </c>
      <c r="D2710" s="179" t="s">
        <v>216</v>
      </c>
      <c r="E2710" s="181">
        <v>0.1</v>
      </c>
    </row>
    <row r="2711" spans="2:5" ht="12.75" x14ac:dyDescent="0.2">
      <c r="B2711" s="179" t="s">
        <v>3144</v>
      </c>
      <c r="C2711" s="180" t="s">
        <v>3124</v>
      </c>
      <c r="D2711" s="179" t="s">
        <v>216</v>
      </c>
      <c r="E2711" s="181">
        <v>0.1</v>
      </c>
    </row>
    <row r="2712" spans="2:5" ht="12.75" x14ac:dyDescent="0.2">
      <c r="B2712" s="179" t="s">
        <v>3145</v>
      </c>
      <c r="C2712" s="180" t="s">
        <v>3124</v>
      </c>
      <c r="D2712" s="179" t="s">
        <v>216</v>
      </c>
      <c r="E2712" s="181">
        <v>0.1</v>
      </c>
    </row>
    <row r="2713" spans="2:5" ht="12.75" x14ac:dyDescent="0.2">
      <c r="B2713" s="179" t="s">
        <v>3146</v>
      </c>
      <c r="C2713" s="180" t="s">
        <v>3124</v>
      </c>
      <c r="D2713" s="179" t="s">
        <v>216</v>
      </c>
      <c r="E2713" s="181">
        <v>0.1</v>
      </c>
    </row>
    <row r="2714" spans="2:5" ht="12.75" x14ac:dyDescent="0.2">
      <c r="B2714" s="179" t="s">
        <v>3147</v>
      </c>
      <c r="C2714" s="180" t="s">
        <v>3124</v>
      </c>
      <c r="D2714" s="179" t="s">
        <v>216</v>
      </c>
      <c r="E2714" s="181">
        <v>0.1</v>
      </c>
    </row>
    <row r="2715" spans="2:5" ht="12.75" x14ac:dyDescent="0.2">
      <c r="B2715" s="179" t="s">
        <v>3148</v>
      </c>
      <c r="C2715" s="180" t="s">
        <v>3124</v>
      </c>
      <c r="D2715" s="179" t="s">
        <v>216</v>
      </c>
      <c r="E2715" s="181">
        <v>0.1</v>
      </c>
    </row>
    <row r="2716" spans="2:5" ht="12.75" x14ac:dyDescent="0.2">
      <c r="B2716" s="179" t="s">
        <v>3149</v>
      </c>
      <c r="C2716" s="180" t="s">
        <v>3124</v>
      </c>
      <c r="D2716" s="179" t="s">
        <v>216</v>
      </c>
      <c r="E2716" s="181">
        <v>0.1</v>
      </c>
    </row>
    <row r="2717" spans="2:5" ht="12.75" x14ac:dyDescent="0.2">
      <c r="B2717" s="179" t="s">
        <v>3150</v>
      </c>
      <c r="C2717" s="180" t="s">
        <v>3124</v>
      </c>
      <c r="D2717" s="179" t="s">
        <v>216</v>
      </c>
      <c r="E2717" s="181">
        <v>0.1</v>
      </c>
    </row>
    <row r="2718" spans="2:5" ht="12.75" x14ac:dyDescent="0.2">
      <c r="B2718" s="179" t="s">
        <v>3151</v>
      </c>
      <c r="C2718" s="180" t="s">
        <v>3124</v>
      </c>
      <c r="D2718" s="179" t="s">
        <v>216</v>
      </c>
      <c r="E2718" s="181">
        <v>0.1</v>
      </c>
    </row>
    <row r="2719" spans="2:5" ht="12.75" x14ac:dyDescent="0.2">
      <c r="B2719" s="179" t="s">
        <v>3152</v>
      </c>
      <c r="C2719" s="180" t="s">
        <v>3124</v>
      </c>
      <c r="D2719" s="179" t="s">
        <v>216</v>
      </c>
      <c r="E2719" s="181">
        <v>0.1</v>
      </c>
    </row>
    <row r="2720" spans="2:5" ht="12.75" x14ac:dyDescent="0.2">
      <c r="B2720" s="179" t="s">
        <v>3153</v>
      </c>
      <c r="C2720" s="180" t="s">
        <v>3124</v>
      </c>
      <c r="D2720" s="179" t="s">
        <v>216</v>
      </c>
      <c r="E2720" s="181">
        <v>0.1</v>
      </c>
    </row>
    <row r="2721" spans="2:5" ht="12.75" x14ac:dyDescent="0.2">
      <c r="B2721" s="179" t="s">
        <v>3154</v>
      </c>
      <c r="C2721" s="180" t="s">
        <v>3124</v>
      </c>
      <c r="D2721" s="179" t="s">
        <v>216</v>
      </c>
      <c r="E2721" s="181">
        <v>0.1</v>
      </c>
    </row>
    <row r="2722" spans="2:5" ht="12.75" x14ac:dyDescent="0.2">
      <c r="B2722" s="179" t="s">
        <v>3155</v>
      </c>
      <c r="C2722" s="180" t="s">
        <v>3124</v>
      </c>
      <c r="D2722" s="179" t="s">
        <v>216</v>
      </c>
      <c r="E2722" s="181">
        <v>0.1</v>
      </c>
    </row>
    <row r="2723" spans="2:5" ht="12.75" x14ac:dyDescent="0.2">
      <c r="B2723" s="179" t="s">
        <v>3156</v>
      </c>
      <c r="C2723" s="180" t="s">
        <v>3124</v>
      </c>
      <c r="D2723" s="179" t="s">
        <v>216</v>
      </c>
      <c r="E2723" s="181">
        <v>0.1</v>
      </c>
    </row>
    <row r="2724" spans="2:5" ht="12.75" x14ac:dyDescent="0.2">
      <c r="B2724" s="179" t="s">
        <v>3157</v>
      </c>
      <c r="C2724" s="180" t="s">
        <v>3124</v>
      </c>
      <c r="D2724" s="179" t="s">
        <v>216</v>
      </c>
      <c r="E2724" s="181">
        <v>0.1</v>
      </c>
    </row>
    <row r="2725" spans="2:5" ht="12.75" x14ac:dyDescent="0.2">
      <c r="B2725" s="179" t="s">
        <v>3158</v>
      </c>
      <c r="C2725" s="180" t="s">
        <v>3124</v>
      </c>
      <c r="D2725" s="179" t="s">
        <v>216</v>
      </c>
      <c r="E2725" s="181">
        <v>0.1</v>
      </c>
    </row>
    <row r="2726" spans="2:5" ht="12.75" x14ac:dyDescent="0.2">
      <c r="B2726" s="179" t="s">
        <v>3159</v>
      </c>
      <c r="C2726" s="180" t="s">
        <v>3124</v>
      </c>
      <c r="D2726" s="179" t="s">
        <v>216</v>
      </c>
      <c r="E2726" s="181">
        <v>0.1</v>
      </c>
    </row>
    <row r="2727" spans="2:5" ht="12.75" x14ac:dyDescent="0.2">
      <c r="B2727" s="179" t="s">
        <v>3160</v>
      </c>
      <c r="C2727" s="180" t="s">
        <v>3124</v>
      </c>
      <c r="D2727" s="179" t="s">
        <v>216</v>
      </c>
      <c r="E2727" s="181">
        <v>0.1</v>
      </c>
    </row>
    <row r="2728" spans="2:5" ht="12.75" x14ac:dyDescent="0.2">
      <c r="B2728" s="179" t="s">
        <v>3161</v>
      </c>
      <c r="C2728" s="180" t="s">
        <v>3124</v>
      </c>
      <c r="D2728" s="179" t="s">
        <v>216</v>
      </c>
      <c r="E2728" s="181">
        <v>0.1</v>
      </c>
    </row>
    <row r="2729" spans="2:5" ht="12.75" x14ac:dyDescent="0.2">
      <c r="B2729" s="179" t="s">
        <v>3162</v>
      </c>
      <c r="C2729" s="180" t="s">
        <v>3124</v>
      </c>
      <c r="D2729" s="179" t="s">
        <v>216</v>
      </c>
      <c r="E2729" s="181">
        <v>0.1</v>
      </c>
    </row>
    <row r="2730" spans="2:5" ht="12.75" x14ac:dyDescent="0.2">
      <c r="B2730" s="179" t="s">
        <v>3163</v>
      </c>
      <c r="C2730" s="180" t="s">
        <v>3124</v>
      </c>
      <c r="D2730" s="179" t="s">
        <v>216</v>
      </c>
      <c r="E2730" s="181">
        <v>0.1</v>
      </c>
    </row>
    <row r="2731" spans="2:5" ht="12.75" x14ac:dyDescent="0.2">
      <c r="B2731" s="179" t="s">
        <v>3164</v>
      </c>
      <c r="C2731" s="180" t="s">
        <v>3124</v>
      </c>
      <c r="D2731" s="179" t="s">
        <v>216</v>
      </c>
      <c r="E2731" s="181">
        <v>0.1</v>
      </c>
    </row>
    <row r="2732" spans="2:5" ht="12.75" x14ac:dyDescent="0.2">
      <c r="B2732" s="179" t="s">
        <v>3165</v>
      </c>
      <c r="C2732" s="180" t="s">
        <v>3124</v>
      </c>
      <c r="D2732" s="179" t="s">
        <v>216</v>
      </c>
      <c r="E2732" s="181">
        <v>0.1</v>
      </c>
    </row>
    <row r="2733" spans="2:5" ht="12.75" x14ac:dyDescent="0.2">
      <c r="B2733" s="179" t="s">
        <v>3166</v>
      </c>
      <c r="C2733" s="180" t="s">
        <v>3124</v>
      </c>
      <c r="D2733" s="179" t="s">
        <v>216</v>
      </c>
      <c r="E2733" s="181">
        <v>0.1</v>
      </c>
    </row>
    <row r="2734" spans="2:5" ht="12.75" x14ac:dyDescent="0.2">
      <c r="B2734" s="179" t="s">
        <v>3167</v>
      </c>
      <c r="C2734" s="180" t="s">
        <v>3124</v>
      </c>
      <c r="D2734" s="179" t="s">
        <v>216</v>
      </c>
      <c r="E2734" s="181">
        <v>0.1</v>
      </c>
    </row>
    <row r="2735" spans="2:5" ht="12.75" x14ac:dyDescent="0.2">
      <c r="B2735" s="179" t="s">
        <v>3168</v>
      </c>
      <c r="C2735" s="180" t="s">
        <v>3124</v>
      </c>
      <c r="D2735" s="179" t="s">
        <v>216</v>
      </c>
      <c r="E2735" s="181">
        <v>0.1</v>
      </c>
    </row>
    <row r="2736" spans="2:5" ht="12.75" x14ac:dyDescent="0.2">
      <c r="B2736" s="179" t="s">
        <v>3169</v>
      </c>
      <c r="C2736" s="180" t="s">
        <v>3124</v>
      </c>
      <c r="D2736" s="179" t="s">
        <v>216</v>
      </c>
      <c r="E2736" s="181">
        <v>0.1</v>
      </c>
    </row>
    <row r="2737" spans="2:5" ht="12.75" x14ac:dyDescent="0.2">
      <c r="B2737" s="179" t="s">
        <v>3170</v>
      </c>
      <c r="C2737" s="180" t="s">
        <v>3124</v>
      </c>
      <c r="D2737" s="179" t="s">
        <v>216</v>
      </c>
      <c r="E2737" s="181">
        <v>0.1</v>
      </c>
    </row>
    <row r="2738" spans="2:5" ht="12.75" x14ac:dyDescent="0.2">
      <c r="B2738" s="179" t="s">
        <v>3171</v>
      </c>
      <c r="C2738" s="180" t="s">
        <v>3124</v>
      </c>
      <c r="D2738" s="179" t="s">
        <v>216</v>
      </c>
      <c r="E2738" s="181">
        <v>0.1</v>
      </c>
    </row>
    <row r="2739" spans="2:5" ht="12.75" x14ac:dyDescent="0.2">
      <c r="B2739" s="179" t="s">
        <v>3172</v>
      </c>
      <c r="C2739" s="180" t="s">
        <v>3124</v>
      </c>
      <c r="D2739" s="179" t="s">
        <v>216</v>
      </c>
      <c r="E2739" s="181">
        <v>0.1</v>
      </c>
    </row>
    <row r="2740" spans="2:5" ht="12.75" x14ac:dyDescent="0.2">
      <c r="B2740" s="179" t="s">
        <v>3173</v>
      </c>
      <c r="C2740" s="180" t="s">
        <v>3124</v>
      </c>
      <c r="D2740" s="179" t="s">
        <v>216</v>
      </c>
      <c r="E2740" s="181">
        <v>0.1</v>
      </c>
    </row>
    <row r="2741" spans="2:5" ht="12.75" x14ac:dyDescent="0.2">
      <c r="B2741" s="179" t="s">
        <v>3174</v>
      </c>
      <c r="C2741" s="180" t="s">
        <v>3124</v>
      </c>
      <c r="D2741" s="179" t="s">
        <v>216</v>
      </c>
      <c r="E2741" s="181">
        <v>0.1</v>
      </c>
    </row>
    <row r="2742" spans="2:5" ht="12.75" x14ac:dyDescent="0.2">
      <c r="B2742" s="179" t="s">
        <v>3175</v>
      </c>
      <c r="C2742" s="180" t="s">
        <v>3124</v>
      </c>
      <c r="D2742" s="179" t="s">
        <v>216</v>
      </c>
      <c r="E2742" s="181">
        <v>0.1</v>
      </c>
    </row>
    <row r="2743" spans="2:5" ht="12.75" x14ac:dyDescent="0.2">
      <c r="B2743" s="179" t="s">
        <v>3176</v>
      </c>
      <c r="C2743" s="180" t="s">
        <v>3124</v>
      </c>
      <c r="D2743" s="179" t="s">
        <v>216</v>
      </c>
      <c r="E2743" s="181">
        <v>0.1</v>
      </c>
    </row>
    <row r="2744" spans="2:5" ht="12.75" x14ac:dyDescent="0.2">
      <c r="B2744" s="179" t="s">
        <v>3177</v>
      </c>
      <c r="C2744" s="180" t="s">
        <v>3124</v>
      </c>
      <c r="D2744" s="179" t="s">
        <v>216</v>
      </c>
      <c r="E2744" s="181">
        <v>0.1</v>
      </c>
    </row>
    <row r="2745" spans="2:5" ht="12.75" x14ac:dyDescent="0.2">
      <c r="B2745" s="179" t="s">
        <v>3178</v>
      </c>
      <c r="C2745" s="180" t="s">
        <v>3124</v>
      </c>
      <c r="D2745" s="179" t="s">
        <v>216</v>
      </c>
      <c r="E2745" s="181">
        <v>0.1</v>
      </c>
    </row>
    <row r="2746" spans="2:5" ht="12.75" x14ac:dyDescent="0.2">
      <c r="B2746" s="179" t="s">
        <v>3179</v>
      </c>
      <c r="C2746" s="180" t="s">
        <v>3124</v>
      </c>
      <c r="D2746" s="179" t="s">
        <v>216</v>
      </c>
      <c r="E2746" s="181">
        <v>0.1</v>
      </c>
    </row>
    <row r="2747" spans="2:5" ht="12.75" x14ac:dyDescent="0.2">
      <c r="B2747" s="179" t="s">
        <v>3180</v>
      </c>
      <c r="C2747" s="180" t="s">
        <v>3124</v>
      </c>
      <c r="D2747" s="179" t="s">
        <v>216</v>
      </c>
      <c r="E2747" s="181">
        <v>0.1</v>
      </c>
    </row>
    <row r="2748" spans="2:5" ht="12.75" x14ac:dyDescent="0.2">
      <c r="B2748" s="179" t="s">
        <v>3181</v>
      </c>
      <c r="C2748" s="180" t="s">
        <v>3124</v>
      </c>
      <c r="D2748" s="179" t="s">
        <v>216</v>
      </c>
      <c r="E2748" s="181">
        <v>0.1</v>
      </c>
    </row>
    <row r="2749" spans="2:5" ht="12.75" x14ac:dyDescent="0.2">
      <c r="B2749" s="179" t="s">
        <v>3182</v>
      </c>
      <c r="C2749" s="180" t="s">
        <v>3124</v>
      </c>
      <c r="D2749" s="179" t="s">
        <v>216</v>
      </c>
      <c r="E2749" s="181">
        <v>0.1</v>
      </c>
    </row>
    <row r="2750" spans="2:5" ht="12.75" x14ac:dyDescent="0.2">
      <c r="B2750" s="179" t="s">
        <v>3183</v>
      </c>
      <c r="C2750" s="180" t="s">
        <v>3124</v>
      </c>
      <c r="D2750" s="179" t="s">
        <v>216</v>
      </c>
      <c r="E2750" s="181">
        <v>0.1</v>
      </c>
    </row>
    <row r="2751" spans="2:5" ht="12.75" x14ac:dyDescent="0.2">
      <c r="B2751" s="179" t="s">
        <v>3184</v>
      </c>
      <c r="C2751" s="180" t="s">
        <v>3124</v>
      </c>
      <c r="D2751" s="179" t="s">
        <v>216</v>
      </c>
      <c r="E2751" s="181">
        <v>0.1</v>
      </c>
    </row>
    <row r="2752" spans="2:5" ht="12.75" x14ac:dyDescent="0.2">
      <c r="B2752" s="179" t="s">
        <v>3185</v>
      </c>
      <c r="C2752" s="180" t="s">
        <v>3124</v>
      </c>
      <c r="D2752" s="179" t="s">
        <v>216</v>
      </c>
      <c r="E2752" s="181">
        <v>0.1</v>
      </c>
    </row>
    <row r="2753" spans="2:5" ht="12.75" x14ac:dyDescent="0.2">
      <c r="B2753" s="179" t="s">
        <v>3186</v>
      </c>
      <c r="C2753" s="180" t="s">
        <v>3124</v>
      </c>
      <c r="D2753" s="179" t="s">
        <v>216</v>
      </c>
      <c r="E2753" s="181">
        <v>0.1</v>
      </c>
    </row>
    <row r="2754" spans="2:5" ht="12.75" x14ac:dyDescent="0.2">
      <c r="B2754" s="179" t="s">
        <v>3187</v>
      </c>
      <c r="C2754" s="180" t="s">
        <v>3124</v>
      </c>
      <c r="D2754" s="179" t="s">
        <v>216</v>
      </c>
      <c r="E2754" s="181">
        <v>0.1</v>
      </c>
    </row>
    <row r="2755" spans="2:5" ht="12.75" x14ac:dyDescent="0.2">
      <c r="B2755" s="179" t="s">
        <v>3188</v>
      </c>
      <c r="C2755" s="180" t="s">
        <v>3124</v>
      </c>
      <c r="D2755" s="179" t="s">
        <v>216</v>
      </c>
      <c r="E2755" s="181">
        <v>0.1</v>
      </c>
    </row>
    <row r="2756" spans="2:5" ht="12.75" x14ac:dyDescent="0.2">
      <c r="B2756" s="179" t="s">
        <v>3189</v>
      </c>
      <c r="C2756" s="180" t="s">
        <v>3124</v>
      </c>
      <c r="D2756" s="179" t="s">
        <v>216</v>
      </c>
      <c r="E2756" s="181">
        <v>0.1</v>
      </c>
    </row>
    <row r="2757" spans="2:5" ht="12.75" x14ac:dyDescent="0.2">
      <c r="B2757" s="179" t="s">
        <v>3190</v>
      </c>
      <c r="C2757" s="180" t="s">
        <v>3124</v>
      </c>
      <c r="D2757" s="179" t="s">
        <v>216</v>
      </c>
      <c r="E2757" s="181">
        <v>0.1</v>
      </c>
    </row>
    <row r="2758" spans="2:5" ht="12.75" x14ac:dyDescent="0.2">
      <c r="B2758" s="179" t="s">
        <v>3191</v>
      </c>
      <c r="C2758" s="180" t="s">
        <v>3124</v>
      </c>
      <c r="D2758" s="179" t="s">
        <v>216</v>
      </c>
      <c r="E2758" s="181">
        <v>0.1</v>
      </c>
    </row>
    <row r="2759" spans="2:5" ht="12.75" x14ac:dyDescent="0.2">
      <c r="B2759" s="179" t="s">
        <v>3192</v>
      </c>
      <c r="C2759" s="180" t="s">
        <v>3124</v>
      </c>
      <c r="D2759" s="179" t="s">
        <v>216</v>
      </c>
      <c r="E2759" s="181">
        <v>0.1</v>
      </c>
    </row>
    <row r="2760" spans="2:5" ht="12.75" x14ac:dyDescent="0.2">
      <c r="B2760" s="179" t="s">
        <v>3193</v>
      </c>
      <c r="C2760" s="180" t="s">
        <v>3124</v>
      </c>
      <c r="D2760" s="179" t="s">
        <v>216</v>
      </c>
      <c r="E2760" s="181">
        <v>0.1</v>
      </c>
    </row>
    <row r="2761" spans="2:5" ht="12.75" x14ac:dyDescent="0.2">
      <c r="B2761" s="179" t="s">
        <v>3194</v>
      </c>
      <c r="C2761" s="180" t="s">
        <v>3124</v>
      </c>
      <c r="D2761" s="179" t="s">
        <v>216</v>
      </c>
      <c r="E2761" s="181">
        <v>0.1</v>
      </c>
    </row>
    <row r="2762" spans="2:5" ht="12.75" x14ac:dyDescent="0.2">
      <c r="B2762" s="179" t="s">
        <v>3195</v>
      </c>
      <c r="C2762" s="180" t="s">
        <v>3124</v>
      </c>
      <c r="D2762" s="179" t="s">
        <v>216</v>
      </c>
      <c r="E2762" s="181">
        <v>0.1</v>
      </c>
    </row>
    <row r="2763" spans="2:5" ht="12.75" x14ac:dyDescent="0.2">
      <c r="B2763" s="179" t="s">
        <v>3196</v>
      </c>
      <c r="C2763" s="180" t="s">
        <v>3124</v>
      </c>
      <c r="D2763" s="179" t="s">
        <v>216</v>
      </c>
      <c r="E2763" s="181">
        <v>0.1</v>
      </c>
    </row>
    <row r="2764" spans="2:5" ht="12.75" x14ac:dyDescent="0.2">
      <c r="B2764" s="179" t="s">
        <v>3197</v>
      </c>
      <c r="C2764" s="180" t="s">
        <v>3124</v>
      </c>
      <c r="D2764" s="179" t="s">
        <v>216</v>
      </c>
      <c r="E2764" s="181">
        <v>0.1</v>
      </c>
    </row>
    <row r="2765" spans="2:5" ht="12.75" x14ac:dyDescent="0.2">
      <c r="B2765" s="179" t="s">
        <v>3198</v>
      </c>
      <c r="C2765" s="180" t="s">
        <v>3124</v>
      </c>
      <c r="D2765" s="179" t="s">
        <v>216</v>
      </c>
      <c r="E2765" s="181">
        <v>0.1</v>
      </c>
    </row>
    <row r="2766" spans="2:5" ht="12.75" x14ac:dyDescent="0.2">
      <c r="B2766" s="179" t="s">
        <v>3199</v>
      </c>
      <c r="C2766" s="180" t="s">
        <v>3124</v>
      </c>
      <c r="D2766" s="179" t="s">
        <v>216</v>
      </c>
      <c r="E2766" s="181">
        <v>0.1</v>
      </c>
    </row>
    <row r="2767" spans="2:5" ht="12.75" x14ac:dyDescent="0.2">
      <c r="B2767" s="179" t="s">
        <v>3200</v>
      </c>
      <c r="C2767" s="180" t="s">
        <v>3124</v>
      </c>
      <c r="D2767" s="179" t="s">
        <v>216</v>
      </c>
      <c r="E2767" s="181">
        <v>0.1</v>
      </c>
    </row>
    <row r="2768" spans="2:5" ht="12.75" x14ac:dyDescent="0.2">
      <c r="B2768" s="179" t="s">
        <v>3201</v>
      </c>
      <c r="C2768" s="180" t="s">
        <v>3124</v>
      </c>
      <c r="D2768" s="179" t="s">
        <v>216</v>
      </c>
      <c r="E2768" s="181">
        <v>0.1</v>
      </c>
    </row>
    <row r="2769" spans="2:5" ht="12.75" x14ac:dyDescent="0.2">
      <c r="B2769" s="179" t="s">
        <v>3202</v>
      </c>
      <c r="C2769" s="180" t="s">
        <v>3124</v>
      </c>
      <c r="D2769" s="179" t="s">
        <v>216</v>
      </c>
      <c r="E2769" s="181">
        <v>0.1</v>
      </c>
    </row>
    <row r="2770" spans="2:5" ht="12.75" x14ac:dyDescent="0.2">
      <c r="B2770" s="179" t="s">
        <v>3203</v>
      </c>
      <c r="C2770" s="180" t="s">
        <v>3124</v>
      </c>
      <c r="D2770" s="179" t="s">
        <v>216</v>
      </c>
      <c r="E2770" s="181">
        <v>0.1</v>
      </c>
    </row>
    <row r="2771" spans="2:5" ht="12.75" x14ac:dyDescent="0.2">
      <c r="B2771" s="179" t="s">
        <v>3204</v>
      </c>
      <c r="C2771" s="180" t="s">
        <v>3124</v>
      </c>
      <c r="D2771" s="179" t="s">
        <v>216</v>
      </c>
      <c r="E2771" s="181">
        <v>0.1</v>
      </c>
    </row>
    <row r="2772" spans="2:5" ht="12.75" x14ac:dyDescent="0.2">
      <c r="B2772" s="179" t="s">
        <v>3205</v>
      </c>
      <c r="C2772" s="180" t="s">
        <v>3124</v>
      </c>
      <c r="D2772" s="179" t="s">
        <v>216</v>
      </c>
      <c r="E2772" s="181">
        <v>0.1</v>
      </c>
    </row>
    <row r="2773" spans="2:5" ht="12.75" x14ac:dyDescent="0.2">
      <c r="B2773" s="179" t="s">
        <v>3206</v>
      </c>
      <c r="C2773" s="180" t="s">
        <v>3124</v>
      </c>
      <c r="D2773" s="179" t="s">
        <v>216</v>
      </c>
      <c r="E2773" s="181">
        <v>0.1</v>
      </c>
    </row>
    <row r="2774" spans="2:5" ht="12.75" x14ac:dyDescent="0.2">
      <c r="B2774" s="179" t="s">
        <v>3207</v>
      </c>
      <c r="C2774" s="180" t="s">
        <v>3124</v>
      </c>
      <c r="D2774" s="179" t="s">
        <v>216</v>
      </c>
      <c r="E2774" s="181">
        <v>0.1</v>
      </c>
    </row>
    <row r="2775" spans="2:5" ht="12.75" x14ac:dyDescent="0.2">
      <c r="B2775" s="179" t="s">
        <v>3208</v>
      </c>
      <c r="C2775" s="180" t="s">
        <v>3124</v>
      </c>
      <c r="D2775" s="179" t="s">
        <v>216</v>
      </c>
      <c r="E2775" s="181">
        <v>0.1</v>
      </c>
    </row>
    <row r="2776" spans="2:5" ht="12.75" x14ac:dyDescent="0.2">
      <c r="B2776" s="179" t="s">
        <v>3209</v>
      </c>
      <c r="C2776" s="180" t="s">
        <v>3124</v>
      </c>
      <c r="D2776" s="179" t="s">
        <v>216</v>
      </c>
      <c r="E2776" s="181">
        <v>0.1</v>
      </c>
    </row>
    <row r="2777" spans="2:5" ht="12.75" x14ac:dyDescent="0.2">
      <c r="B2777" s="179" t="s">
        <v>3210</v>
      </c>
      <c r="C2777" s="180" t="s">
        <v>3124</v>
      </c>
      <c r="D2777" s="179" t="s">
        <v>216</v>
      </c>
      <c r="E2777" s="181">
        <v>0.1</v>
      </c>
    </row>
    <row r="2778" spans="2:5" ht="12.75" x14ac:dyDescent="0.2">
      <c r="B2778" s="179" t="s">
        <v>3211</v>
      </c>
      <c r="C2778" s="180" t="s">
        <v>3124</v>
      </c>
      <c r="D2778" s="179" t="s">
        <v>216</v>
      </c>
      <c r="E2778" s="181">
        <v>0.1</v>
      </c>
    </row>
    <row r="2779" spans="2:5" ht="12.75" x14ac:dyDescent="0.2">
      <c r="B2779" s="179" t="s">
        <v>3212</v>
      </c>
      <c r="C2779" s="180" t="s">
        <v>3124</v>
      </c>
      <c r="D2779" s="179" t="s">
        <v>216</v>
      </c>
      <c r="E2779" s="181">
        <v>0.1</v>
      </c>
    </row>
    <row r="2780" spans="2:5" ht="12.75" x14ac:dyDescent="0.2">
      <c r="B2780" s="179" t="s">
        <v>3213</v>
      </c>
      <c r="C2780" s="180" t="s">
        <v>3124</v>
      </c>
      <c r="D2780" s="179" t="s">
        <v>216</v>
      </c>
      <c r="E2780" s="181">
        <v>0.1</v>
      </c>
    </row>
    <row r="2781" spans="2:5" ht="12.75" x14ac:dyDescent="0.2">
      <c r="B2781" s="179" t="s">
        <v>3214</v>
      </c>
      <c r="C2781" s="180" t="s">
        <v>3124</v>
      </c>
      <c r="D2781" s="179" t="s">
        <v>216</v>
      </c>
      <c r="E2781" s="181">
        <v>0.1</v>
      </c>
    </row>
    <row r="2782" spans="2:5" ht="12.75" x14ac:dyDescent="0.2">
      <c r="B2782" s="179" t="s">
        <v>3215</v>
      </c>
      <c r="C2782" s="180" t="s">
        <v>3124</v>
      </c>
      <c r="D2782" s="179" t="s">
        <v>216</v>
      </c>
      <c r="E2782" s="181">
        <v>0.1</v>
      </c>
    </row>
    <row r="2783" spans="2:5" ht="12.75" x14ac:dyDescent="0.2">
      <c r="B2783" s="179" t="s">
        <v>3216</v>
      </c>
      <c r="C2783" s="180" t="s">
        <v>3124</v>
      </c>
      <c r="D2783" s="179" t="s">
        <v>216</v>
      </c>
      <c r="E2783" s="181">
        <v>0.1</v>
      </c>
    </row>
    <row r="2784" spans="2:5" ht="12.75" x14ac:dyDescent="0.2">
      <c r="B2784" s="179" t="s">
        <v>3217</v>
      </c>
      <c r="C2784" s="180" t="s">
        <v>3124</v>
      </c>
      <c r="D2784" s="179" t="s">
        <v>216</v>
      </c>
      <c r="E2784" s="181">
        <v>0.1</v>
      </c>
    </row>
    <row r="2785" spans="2:5" ht="12.75" x14ac:dyDescent="0.2">
      <c r="B2785" s="179" t="s">
        <v>3218</v>
      </c>
      <c r="C2785" s="180" t="s">
        <v>3124</v>
      </c>
      <c r="D2785" s="179" t="s">
        <v>216</v>
      </c>
      <c r="E2785" s="181">
        <v>0.1</v>
      </c>
    </row>
    <row r="2786" spans="2:5" ht="12.75" x14ac:dyDescent="0.2">
      <c r="B2786" s="179" t="s">
        <v>3219</v>
      </c>
      <c r="C2786" s="180" t="s">
        <v>3124</v>
      </c>
      <c r="D2786" s="179" t="s">
        <v>216</v>
      </c>
      <c r="E2786" s="181">
        <v>0.1</v>
      </c>
    </row>
    <row r="2787" spans="2:5" ht="12.75" x14ac:dyDescent="0.2">
      <c r="B2787" s="179" t="s">
        <v>3220</v>
      </c>
      <c r="C2787" s="180" t="s">
        <v>3124</v>
      </c>
      <c r="D2787" s="179" t="s">
        <v>216</v>
      </c>
      <c r="E2787" s="181">
        <v>0.1</v>
      </c>
    </row>
    <row r="2788" spans="2:5" ht="12.75" x14ac:dyDescent="0.2">
      <c r="B2788" s="179" t="s">
        <v>3221</v>
      </c>
      <c r="C2788" s="180" t="s">
        <v>3124</v>
      </c>
      <c r="D2788" s="179" t="s">
        <v>216</v>
      </c>
      <c r="E2788" s="181">
        <v>0.1</v>
      </c>
    </row>
    <row r="2789" spans="2:5" ht="12.75" x14ac:dyDescent="0.2">
      <c r="B2789" s="179" t="s">
        <v>3222</v>
      </c>
      <c r="C2789" s="180" t="s">
        <v>3124</v>
      </c>
      <c r="D2789" s="179" t="s">
        <v>216</v>
      </c>
      <c r="E2789" s="181">
        <v>0.1</v>
      </c>
    </row>
    <row r="2790" spans="2:5" ht="12.75" x14ac:dyDescent="0.2">
      <c r="B2790" s="179" t="s">
        <v>3223</v>
      </c>
      <c r="C2790" s="180" t="s">
        <v>3124</v>
      </c>
      <c r="D2790" s="179" t="s">
        <v>216</v>
      </c>
      <c r="E2790" s="181">
        <v>0.1</v>
      </c>
    </row>
    <row r="2791" spans="2:5" ht="12.75" x14ac:dyDescent="0.2">
      <c r="B2791" s="179" t="s">
        <v>3224</v>
      </c>
      <c r="C2791" s="180" t="s">
        <v>3124</v>
      </c>
      <c r="D2791" s="179" t="s">
        <v>216</v>
      </c>
      <c r="E2791" s="181">
        <v>0.1</v>
      </c>
    </row>
    <row r="2792" spans="2:5" ht="12.75" x14ac:dyDescent="0.2">
      <c r="B2792" s="179" t="s">
        <v>3225</v>
      </c>
      <c r="C2792" s="180" t="s">
        <v>3124</v>
      </c>
      <c r="D2792" s="179" t="s">
        <v>216</v>
      </c>
      <c r="E2792" s="181">
        <v>0.1</v>
      </c>
    </row>
    <row r="2793" spans="2:5" ht="12.75" x14ac:dyDescent="0.2">
      <c r="B2793" s="179" t="s">
        <v>3226</v>
      </c>
      <c r="C2793" s="180" t="s">
        <v>3124</v>
      </c>
      <c r="D2793" s="179" t="s">
        <v>216</v>
      </c>
      <c r="E2793" s="181">
        <v>0.1</v>
      </c>
    </row>
    <row r="2794" spans="2:5" ht="12.75" x14ac:dyDescent="0.2">
      <c r="B2794" s="179" t="s">
        <v>3227</v>
      </c>
      <c r="C2794" s="180" t="s">
        <v>3124</v>
      </c>
      <c r="D2794" s="179" t="s">
        <v>216</v>
      </c>
      <c r="E2794" s="181">
        <v>0.1</v>
      </c>
    </row>
    <row r="2795" spans="2:5" ht="12.75" x14ac:dyDescent="0.2">
      <c r="B2795" s="179" t="s">
        <v>3228</v>
      </c>
      <c r="C2795" s="180" t="s">
        <v>3124</v>
      </c>
      <c r="D2795" s="179" t="s">
        <v>216</v>
      </c>
      <c r="E2795" s="181">
        <v>0.1</v>
      </c>
    </row>
    <row r="2796" spans="2:5" ht="12.75" x14ac:dyDescent="0.2">
      <c r="B2796" s="179" t="s">
        <v>3229</v>
      </c>
      <c r="C2796" s="180" t="s">
        <v>3124</v>
      </c>
      <c r="D2796" s="179" t="s">
        <v>216</v>
      </c>
      <c r="E2796" s="181">
        <v>0.1</v>
      </c>
    </row>
    <row r="2797" spans="2:5" ht="12.75" x14ac:dyDescent="0.2">
      <c r="B2797" s="179" t="s">
        <v>3230</v>
      </c>
      <c r="C2797" s="180" t="s">
        <v>3124</v>
      </c>
      <c r="D2797" s="179" t="s">
        <v>216</v>
      </c>
      <c r="E2797" s="181">
        <v>0.1</v>
      </c>
    </row>
    <row r="2798" spans="2:5" ht="12.75" x14ac:dyDescent="0.2">
      <c r="B2798" s="179" t="s">
        <v>3231</v>
      </c>
      <c r="C2798" s="180" t="s">
        <v>3124</v>
      </c>
      <c r="D2798" s="179" t="s">
        <v>216</v>
      </c>
      <c r="E2798" s="181">
        <v>0.1</v>
      </c>
    </row>
    <row r="2799" spans="2:5" ht="12.75" x14ac:dyDescent="0.2">
      <c r="B2799" s="179" t="s">
        <v>3232</v>
      </c>
      <c r="C2799" s="180" t="s">
        <v>3124</v>
      </c>
      <c r="D2799" s="179" t="s">
        <v>216</v>
      </c>
      <c r="E2799" s="181">
        <v>0.1</v>
      </c>
    </row>
    <row r="2800" spans="2:5" ht="12.75" x14ac:dyDescent="0.2">
      <c r="B2800" s="179" t="s">
        <v>3233</v>
      </c>
      <c r="C2800" s="180" t="s">
        <v>3124</v>
      </c>
      <c r="D2800" s="179" t="s">
        <v>216</v>
      </c>
      <c r="E2800" s="181">
        <v>0.1</v>
      </c>
    </row>
    <row r="2801" spans="2:5" ht="12.75" x14ac:dyDescent="0.2">
      <c r="B2801" s="179" t="s">
        <v>3234</v>
      </c>
      <c r="C2801" s="180" t="s">
        <v>3124</v>
      </c>
      <c r="D2801" s="179" t="s">
        <v>216</v>
      </c>
      <c r="E2801" s="181">
        <v>0.1</v>
      </c>
    </row>
    <row r="2802" spans="2:5" ht="12.75" x14ac:dyDescent="0.2">
      <c r="B2802" s="179" t="s">
        <v>3235</v>
      </c>
      <c r="C2802" s="180" t="s">
        <v>3124</v>
      </c>
      <c r="D2802" s="179" t="s">
        <v>216</v>
      </c>
      <c r="E2802" s="181">
        <v>0.1</v>
      </c>
    </row>
    <row r="2803" spans="2:5" ht="12.75" x14ac:dyDescent="0.2">
      <c r="B2803" s="179" t="s">
        <v>3236</v>
      </c>
      <c r="C2803" s="180" t="s">
        <v>3124</v>
      </c>
      <c r="D2803" s="179" t="s">
        <v>216</v>
      </c>
      <c r="E2803" s="181">
        <v>0.1</v>
      </c>
    </row>
    <row r="2804" spans="2:5" ht="12.75" x14ac:dyDescent="0.2">
      <c r="B2804" s="179" t="s">
        <v>3237</v>
      </c>
      <c r="C2804" s="180" t="s">
        <v>3124</v>
      </c>
      <c r="D2804" s="179" t="s">
        <v>216</v>
      </c>
      <c r="E2804" s="181">
        <v>0.1</v>
      </c>
    </row>
    <row r="2805" spans="2:5" ht="12.75" x14ac:dyDescent="0.2">
      <c r="B2805" s="179" t="s">
        <v>3238</v>
      </c>
      <c r="C2805" s="180" t="s">
        <v>3124</v>
      </c>
      <c r="D2805" s="179" t="s">
        <v>216</v>
      </c>
      <c r="E2805" s="181">
        <v>0.1</v>
      </c>
    </row>
    <row r="2806" spans="2:5" ht="12.75" x14ac:dyDescent="0.2">
      <c r="B2806" s="179" t="s">
        <v>3239</v>
      </c>
      <c r="C2806" s="180" t="s">
        <v>3124</v>
      </c>
      <c r="D2806" s="179" t="s">
        <v>216</v>
      </c>
      <c r="E2806" s="181">
        <v>0.1</v>
      </c>
    </row>
    <row r="2807" spans="2:5" ht="12.75" x14ac:dyDescent="0.2">
      <c r="B2807" s="179" t="s">
        <v>3240</v>
      </c>
      <c r="C2807" s="180" t="s">
        <v>3124</v>
      </c>
      <c r="D2807" s="179" t="s">
        <v>216</v>
      </c>
      <c r="E2807" s="181">
        <v>0.1</v>
      </c>
    </row>
    <row r="2808" spans="2:5" ht="12.75" x14ac:dyDescent="0.2">
      <c r="B2808" s="179" t="s">
        <v>3241</v>
      </c>
      <c r="C2808" s="180" t="s">
        <v>3124</v>
      </c>
      <c r="D2808" s="179" t="s">
        <v>216</v>
      </c>
      <c r="E2808" s="181">
        <v>0.1</v>
      </c>
    </row>
    <row r="2809" spans="2:5" ht="12.75" x14ac:dyDescent="0.2">
      <c r="B2809" s="179" t="s">
        <v>3242</v>
      </c>
      <c r="C2809" s="180" t="s">
        <v>3124</v>
      </c>
      <c r="D2809" s="179" t="s">
        <v>216</v>
      </c>
      <c r="E2809" s="181">
        <v>0.1</v>
      </c>
    </row>
    <row r="2810" spans="2:5" ht="12.75" x14ac:dyDescent="0.2">
      <c r="B2810" s="179" t="s">
        <v>3243</v>
      </c>
      <c r="C2810" s="180" t="s">
        <v>3124</v>
      </c>
      <c r="D2810" s="179" t="s">
        <v>216</v>
      </c>
      <c r="E2810" s="181">
        <v>0.1</v>
      </c>
    </row>
    <row r="2811" spans="2:5" ht="12.75" x14ac:dyDescent="0.2">
      <c r="B2811" s="179" t="s">
        <v>3244</v>
      </c>
      <c r="C2811" s="180" t="s">
        <v>3124</v>
      </c>
      <c r="D2811" s="179" t="s">
        <v>216</v>
      </c>
      <c r="E2811" s="181">
        <v>0.1</v>
      </c>
    </row>
    <row r="2812" spans="2:5" ht="12.75" x14ac:dyDescent="0.2">
      <c r="B2812" s="179" t="s">
        <v>3245</v>
      </c>
      <c r="C2812" s="180" t="s">
        <v>3124</v>
      </c>
      <c r="D2812" s="179" t="s">
        <v>216</v>
      </c>
      <c r="E2812" s="181">
        <v>0.1</v>
      </c>
    </row>
    <row r="2813" spans="2:5" ht="12.75" x14ac:dyDescent="0.2">
      <c r="B2813" s="179" t="s">
        <v>3246</v>
      </c>
      <c r="C2813" s="180" t="s">
        <v>3124</v>
      </c>
      <c r="D2813" s="179" t="s">
        <v>216</v>
      </c>
      <c r="E2813" s="181">
        <v>0.1</v>
      </c>
    </row>
    <row r="2814" spans="2:5" ht="12.75" x14ac:dyDescent="0.2">
      <c r="B2814" s="179" t="s">
        <v>3247</v>
      </c>
      <c r="C2814" s="180" t="s">
        <v>3124</v>
      </c>
      <c r="D2814" s="179" t="s">
        <v>216</v>
      </c>
      <c r="E2814" s="181">
        <v>0.1</v>
      </c>
    </row>
    <row r="2815" spans="2:5" ht="12.75" x14ac:dyDescent="0.2">
      <c r="B2815" s="179" t="s">
        <v>3248</v>
      </c>
      <c r="C2815" s="180" t="s">
        <v>3124</v>
      </c>
      <c r="D2815" s="179" t="s">
        <v>216</v>
      </c>
      <c r="E2815" s="181">
        <v>0.1</v>
      </c>
    </row>
    <row r="2816" spans="2:5" ht="12.75" x14ac:dyDescent="0.2">
      <c r="B2816" s="179" t="s">
        <v>3249</v>
      </c>
      <c r="C2816" s="180" t="s">
        <v>3124</v>
      </c>
      <c r="D2816" s="179" t="s">
        <v>216</v>
      </c>
      <c r="E2816" s="181">
        <v>0.1</v>
      </c>
    </row>
    <row r="2817" spans="2:5" ht="12.75" x14ac:dyDescent="0.2">
      <c r="B2817" s="179" t="s">
        <v>3250</v>
      </c>
      <c r="C2817" s="180" t="s">
        <v>3124</v>
      </c>
      <c r="D2817" s="179" t="s">
        <v>216</v>
      </c>
      <c r="E2817" s="181">
        <v>0.1</v>
      </c>
    </row>
    <row r="2818" spans="2:5" ht="12.75" x14ac:dyDescent="0.2">
      <c r="B2818" s="179" t="s">
        <v>3251</v>
      </c>
      <c r="C2818" s="180" t="s">
        <v>3124</v>
      </c>
      <c r="D2818" s="179" t="s">
        <v>216</v>
      </c>
      <c r="E2818" s="181">
        <v>0.1</v>
      </c>
    </row>
    <row r="2819" spans="2:5" ht="12.75" x14ac:dyDescent="0.2">
      <c r="B2819" s="179" t="s">
        <v>3252</v>
      </c>
      <c r="C2819" s="180" t="s">
        <v>3124</v>
      </c>
      <c r="D2819" s="179" t="s">
        <v>216</v>
      </c>
      <c r="E2819" s="181">
        <v>0.1</v>
      </c>
    </row>
    <row r="2820" spans="2:5" ht="12.75" x14ac:dyDescent="0.2">
      <c r="B2820" s="179" t="s">
        <v>3253</v>
      </c>
      <c r="C2820" s="180" t="s">
        <v>3124</v>
      </c>
      <c r="D2820" s="179" t="s">
        <v>216</v>
      </c>
      <c r="E2820" s="181">
        <v>0.1</v>
      </c>
    </row>
    <row r="2821" spans="2:5" ht="12.75" x14ac:dyDescent="0.2">
      <c r="B2821" s="179" t="s">
        <v>3254</v>
      </c>
      <c r="C2821" s="180" t="s">
        <v>3124</v>
      </c>
      <c r="D2821" s="179" t="s">
        <v>216</v>
      </c>
      <c r="E2821" s="181">
        <v>0.1</v>
      </c>
    </row>
    <row r="2822" spans="2:5" ht="12.75" x14ac:dyDescent="0.2">
      <c r="B2822" s="179" t="s">
        <v>3255</v>
      </c>
      <c r="C2822" s="180" t="s">
        <v>3124</v>
      </c>
      <c r="D2822" s="179" t="s">
        <v>216</v>
      </c>
      <c r="E2822" s="181">
        <v>0.1</v>
      </c>
    </row>
    <row r="2823" spans="2:5" ht="12.75" x14ac:dyDescent="0.2">
      <c r="B2823" s="179" t="s">
        <v>3256</v>
      </c>
      <c r="C2823" s="180" t="s">
        <v>3124</v>
      </c>
      <c r="D2823" s="179" t="s">
        <v>216</v>
      </c>
      <c r="E2823" s="181">
        <v>0.1</v>
      </c>
    </row>
    <row r="2824" spans="2:5" ht="12.75" x14ac:dyDescent="0.2">
      <c r="B2824" s="179" t="s">
        <v>3257</v>
      </c>
      <c r="C2824" s="180" t="s">
        <v>3124</v>
      </c>
      <c r="D2824" s="179" t="s">
        <v>216</v>
      </c>
      <c r="E2824" s="181">
        <v>0.1</v>
      </c>
    </row>
    <row r="2825" spans="2:5" ht="12.75" x14ac:dyDescent="0.2">
      <c r="B2825" s="179" t="s">
        <v>3258</v>
      </c>
      <c r="C2825" s="180" t="s">
        <v>3124</v>
      </c>
      <c r="D2825" s="179" t="s">
        <v>216</v>
      </c>
      <c r="E2825" s="181">
        <v>0.1</v>
      </c>
    </row>
    <row r="2826" spans="2:5" ht="12.75" x14ac:dyDescent="0.2">
      <c r="B2826" s="179" t="s">
        <v>3259</v>
      </c>
      <c r="C2826" s="180" t="s">
        <v>3124</v>
      </c>
      <c r="D2826" s="179" t="s">
        <v>216</v>
      </c>
      <c r="E2826" s="181">
        <v>0.1</v>
      </c>
    </row>
    <row r="2827" spans="2:5" ht="12.75" x14ac:dyDescent="0.2">
      <c r="B2827" s="179" t="s">
        <v>3260</v>
      </c>
      <c r="C2827" s="180" t="s">
        <v>3124</v>
      </c>
      <c r="D2827" s="179" t="s">
        <v>216</v>
      </c>
      <c r="E2827" s="181">
        <v>0.1</v>
      </c>
    </row>
    <row r="2828" spans="2:5" ht="12.75" x14ac:dyDescent="0.2">
      <c r="B2828" s="179" t="s">
        <v>3261</v>
      </c>
      <c r="C2828" s="180" t="s">
        <v>3124</v>
      </c>
      <c r="D2828" s="179" t="s">
        <v>216</v>
      </c>
      <c r="E2828" s="181">
        <v>0.1</v>
      </c>
    </row>
    <row r="2829" spans="2:5" ht="12.75" x14ac:dyDescent="0.2">
      <c r="B2829" s="179" t="s">
        <v>3262</v>
      </c>
      <c r="C2829" s="180" t="s">
        <v>3124</v>
      </c>
      <c r="D2829" s="179" t="s">
        <v>216</v>
      </c>
      <c r="E2829" s="181">
        <v>0.1</v>
      </c>
    </row>
    <row r="2830" spans="2:5" ht="12.75" x14ac:dyDescent="0.2">
      <c r="B2830" s="179" t="s">
        <v>3263</v>
      </c>
      <c r="C2830" s="180" t="s">
        <v>3124</v>
      </c>
      <c r="D2830" s="179" t="s">
        <v>216</v>
      </c>
      <c r="E2830" s="181">
        <v>0.1</v>
      </c>
    </row>
    <row r="2831" spans="2:5" ht="12.75" x14ac:dyDescent="0.2">
      <c r="B2831" s="179" t="s">
        <v>3264</v>
      </c>
      <c r="C2831" s="180" t="s">
        <v>3124</v>
      </c>
      <c r="D2831" s="179" t="s">
        <v>216</v>
      </c>
      <c r="E2831" s="181">
        <v>0.1</v>
      </c>
    </row>
    <row r="2832" spans="2:5" ht="12.75" x14ac:dyDescent="0.2">
      <c r="B2832" s="179" t="s">
        <v>3265</v>
      </c>
      <c r="C2832" s="180" t="s">
        <v>3124</v>
      </c>
      <c r="D2832" s="179" t="s">
        <v>216</v>
      </c>
      <c r="E2832" s="181">
        <v>0.1</v>
      </c>
    </row>
    <row r="2833" spans="2:5" ht="12.75" x14ac:dyDescent="0.2">
      <c r="B2833" s="179" t="s">
        <v>3266</v>
      </c>
      <c r="C2833" s="180" t="s">
        <v>3124</v>
      </c>
      <c r="D2833" s="179" t="s">
        <v>216</v>
      </c>
      <c r="E2833" s="181">
        <v>0.1</v>
      </c>
    </row>
    <row r="2834" spans="2:5" ht="12.75" x14ac:dyDescent="0.2">
      <c r="B2834" s="179" t="s">
        <v>3267</v>
      </c>
      <c r="C2834" s="180" t="s">
        <v>3124</v>
      </c>
      <c r="D2834" s="179" t="s">
        <v>216</v>
      </c>
      <c r="E2834" s="181">
        <v>0.1</v>
      </c>
    </row>
    <row r="2835" spans="2:5" ht="12.75" x14ac:dyDescent="0.2">
      <c r="B2835" s="179" t="s">
        <v>3268</v>
      </c>
      <c r="C2835" s="180" t="s">
        <v>3124</v>
      </c>
      <c r="D2835" s="179" t="s">
        <v>216</v>
      </c>
      <c r="E2835" s="181">
        <v>0.1</v>
      </c>
    </row>
    <row r="2836" spans="2:5" ht="12.75" x14ac:dyDescent="0.2">
      <c r="B2836" s="179" t="s">
        <v>3269</v>
      </c>
      <c r="C2836" s="180" t="s">
        <v>3124</v>
      </c>
      <c r="D2836" s="179" t="s">
        <v>216</v>
      </c>
      <c r="E2836" s="181">
        <v>0.1</v>
      </c>
    </row>
    <row r="2837" spans="2:5" ht="12.75" x14ac:dyDescent="0.2">
      <c r="B2837" s="179" t="s">
        <v>3270</v>
      </c>
      <c r="C2837" s="180" t="s">
        <v>3124</v>
      </c>
      <c r="D2837" s="179" t="s">
        <v>216</v>
      </c>
      <c r="E2837" s="181">
        <v>0.1</v>
      </c>
    </row>
    <row r="2838" spans="2:5" ht="12.75" x14ac:dyDescent="0.2">
      <c r="B2838" s="179" t="s">
        <v>3271</v>
      </c>
      <c r="C2838" s="180" t="s">
        <v>3124</v>
      </c>
      <c r="D2838" s="179" t="s">
        <v>216</v>
      </c>
      <c r="E2838" s="181">
        <v>0.1</v>
      </c>
    </row>
    <row r="2839" spans="2:5" ht="12.75" x14ac:dyDescent="0.2">
      <c r="B2839" s="179" t="s">
        <v>3272</v>
      </c>
      <c r="C2839" s="180" t="s">
        <v>3124</v>
      </c>
      <c r="D2839" s="179" t="s">
        <v>216</v>
      </c>
      <c r="E2839" s="181">
        <v>0.1</v>
      </c>
    </row>
    <row r="2840" spans="2:5" ht="12.75" x14ac:dyDescent="0.2">
      <c r="B2840" s="179" t="s">
        <v>3273</v>
      </c>
      <c r="C2840" s="180" t="s">
        <v>3124</v>
      </c>
      <c r="D2840" s="179" t="s">
        <v>216</v>
      </c>
      <c r="E2840" s="181">
        <v>0.1</v>
      </c>
    </row>
    <row r="2841" spans="2:5" ht="12.75" x14ac:dyDescent="0.2">
      <c r="B2841" s="179" t="s">
        <v>3274</v>
      </c>
      <c r="C2841" s="180" t="s">
        <v>3124</v>
      </c>
      <c r="D2841" s="179" t="s">
        <v>216</v>
      </c>
      <c r="E2841" s="181">
        <v>0.1</v>
      </c>
    </row>
    <row r="2842" spans="2:5" ht="12.75" x14ac:dyDescent="0.2">
      <c r="B2842" s="179" t="s">
        <v>3275</v>
      </c>
      <c r="C2842" s="180" t="s">
        <v>3124</v>
      </c>
      <c r="D2842" s="179" t="s">
        <v>216</v>
      </c>
      <c r="E2842" s="181">
        <v>0.1</v>
      </c>
    </row>
    <row r="2843" spans="2:5" ht="12.75" x14ac:dyDescent="0.2">
      <c r="B2843" s="179" t="s">
        <v>3276</v>
      </c>
      <c r="C2843" s="180" t="s">
        <v>3124</v>
      </c>
      <c r="D2843" s="179" t="s">
        <v>216</v>
      </c>
      <c r="E2843" s="181">
        <v>0.1</v>
      </c>
    </row>
    <row r="2844" spans="2:5" ht="12.75" x14ac:dyDescent="0.2">
      <c r="B2844" s="179" t="s">
        <v>3277</v>
      </c>
      <c r="C2844" s="180" t="s">
        <v>3124</v>
      </c>
      <c r="D2844" s="179" t="s">
        <v>216</v>
      </c>
      <c r="E2844" s="181">
        <v>0.1</v>
      </c>
    </row>
    <row r="2845" spans="2:5" ht="12.75" x14ac:dyDescent="0.2">
      <c r="B2845" s="179" t="s">
        <v>3278</v>
      </c>
      <c r="C2845" s="180" t="s">
        <v>3124</v>
      </c>
      <c r="D2845" s="179" t="s">
        <v>216</v>
      </c>
      <c r="E2845" s="181">
        <v>0.1</v>
      </c>
    </row>
    <row r="2846" spans="2:5" ht="12.75" x14ac:dyDescent="0.2">
      <c r="B2846" s="179" t="s">
        <v>3279</v>
      </c>
      <c r="C2846" s="180" t="s">
        <v>3124</v>
      </c>
      <c r="D2846" s="179" t="s">
        <v>216</v>
      </c>
      <c r="E2846" s="181">
        <v>0.1</v>
      </c>
    </row>
    <row r="2847" spans="2:5" ht="12.75" x14ac:dyDescent="0.2">
      <c r="B2847" s="179" t="s">
        <v>3280</v>
      </c>
      <c r="C2847" s="180" t="s">
        <v>3124</v>
      </c>
      <c r="D2847" s="179" t="s">
        <v>216</v>
      </c>
      <c r="E2847" s="181">
        <v>0.1</v>
      </c>
    </row>
    <row r="2848" spans="2:5" ht="12.75" x14ac:dyDescent="0.2">
      <c r="B2848" s="179" t="s">
        <v>3281</v>
      </c>
      <c r="C2848" s="180" t="s">
        <v>3124</v>
      </c>
      <c r="D2848" s="179" t="s">
        <v>216</v>
      </c>
      <c r="E2848" s="181">
        <v>0.1</v>
      </c>
    </row>
    <row r="2849" spans="2:5" ht="12.75" x14ac:dyDescent="0.2">
      <c r="B2849" s="179" t="s">
        <v>3282</v>
      </c>
      <c r="C2849" s="180" t="s">
        <v>3124</v>
      </c>
      <c r="D2849" s="179" t="s">
        <v>216</v>
      </c>
      <c r="E2849" s="181">
        <v>0.1</v>
      </c>
    </row>
    <row r="2850" spans="2:5" ht="12.75" x14ac:dyDescent="0.2">
      <c r="B2850" s="179" t="s">
        <v>3283</v>
      </c>
      <c r="C2850" s="180" t="s">
        <v>3124</v>
      </c>
      <c r="D2850" s="179" t="s">
        <v>216</v>
      </c>
      <c r="E2850" s="181">
        <v>0.1</v>
      </c>
    </row>
    <row r="2851" spans="2:5" ht="12.75" x14ac:dyDescent="0.2">
      <c r="B2851" s="179" t="s">
        <v>3284</v>
      </c>
      <c r="C2851" s="180" t="s">
        <v>3124</v>
      </c>
      <c r="D2851" s="179" t="s">
        <v>216</v>
      </c>
      <c r="E2851" s="181">
        <v>0.1</v>
      </c>
    </row>
    <row r="2852" spans="2:5" ht="12.75" x14ac:dyDescent="0.2">
      <c r="B2852" s="179" t="s">
        <v>3285</v>
      </c>
      <c r="C2852" s="180" t="s">
        <v>3124</v>
      </c>
      <c r="D2852" s="179" t="s">
        <v>216</v>
      </c>
      <c r="E2852" s="181">
        <v>0.1</v>
      </c>
    </row>
    <row r="2853" spans="2:5" ht="12.75" x14ac:dyDescent="0.2">
      <c r="B2853" s="179" t="s">
        <v>3286</v>
      </c>
      <c r="C2853" s="180" t="s">
        <v>3124</v>
      </c>
      <c r="D2853" s="179" t="s">
        <v>216</v>
      </c>
      <c r="E2853" s="181">
        <v>0.1</v>
      </c>
    </row>
    <row r="2854" spans="2:5" ht="12.75" x14ac:dyDescent="0.2">
      <c r="B2854" s="179" t="s">
        <v>3287</v>
      </c>
      <c r="C2854" s="180" t="s">
        <v>3124</v>
      </c>
      <c r="D2854" s="179" t="s">
        <v>216</v>
      </c>
      <c r="E2854" s="181">
        <v>0.1</v>
      </c>
    </row>
    <row r="2855" spans="2:5" ht="12.75" x14ac:dyDescent="0.2">
      <c r="B2855" s="179" t="s">
        <v>3288</v>
      </c>
      <c r="C2855" s="180" t="s">
        <v>3124</v>
      </c>
      <c r="D2855" s="179" t="s">
        <v>216</v>
      </c>
      <c r="E2855" s="181">
        <v>0.1</v>
      </c>
    </row>
    <row r="2856" spans="2:5" ht="12.75" x14ac:dyDescent="0.2">
      <c r="B2856" s="179" t="s">
        <v>3289</v>
      </c>
      <c r="C2856" s="180" t="s">
        <v>3124</v>
      </c>
      <c r="D2856" s="179" t="s">
        <v>216</v>
      </c>
      <c r="E2856" s="181">
        <v>0.1</v>
      </c>
    </row>
    <row r="2857" spans="2:5" ht="12.75" x14ac:dyDescent="0.2">
      <c r="B2857" s="179" t="s">
        <v>3290</v>
      </c>
      <c r="C2857" s="180" t="s">
        <v>3124</v>
      </c>
      <c r="D2857" s="179" t="s">
        <v>216</v>
      </c>
      <c r="E2857" s="181">
        <v>0.1</v>
      </c>
    </row>
    <row r="2858" spans="2:5" ht="12.75" x14ac:dyDescent="0.2">
      <c r="B2858" s="179" t="s">
        <v>3291</v>
      </c>
      <c r="C2858" s="180" t="s">
        <v>3124</v>
      </c>
      <c r="D2858" s="179" t="s">
        <v>216</v>
      </c>
      <c r="E2858" s="181">
        <v>0.1</v>
      </c>
    </row>
    <row r="2859" spans="2:5" ht="12.75" x14ac:dyDescent="0.2">
      <c r="B2859" s="179" t="s">
        <v>3292</v>
      </c>
      <c r="C2859" s="180" t="s">
        <v>3124</v>
      </c>
      <c r="D2859" s="179" t="s">
        <v>216</v>
      </c>
      <c r="E2859" s="181">
        <v>0.1</v>
      </c>
    </row>
    <row r="2860" spans="2:5" ht="12.75" x14ac:dyDescent="0.2">
      <c r="B2860" s="179" t="s">
        <v>3293</v>
      </c>
      <c r="C2860" s="180" t="s">
        <v>3124</v>
      </c>
      <c r="D2860" s="179" t="s">
        <v>216</v>
      </c>
      <c r="E2860" s="181">
        <v>0.1</v>
      </c>
    </row>
    <row r="2861" spans="2:5" ht="12.75" x14ac:dyDescent="0.2">
      <c r="B2861" s="179" t="s">
        <v>3294</v>
      </c>
      <c r="C2861" s="180" t="s">
        <v>3124</v>
      </c>
      <c r="D2861" s="179" t="s">
        <v>216</v>
      </c>
      <c r="E2861" s="181">
        <v>0.1</v>
      </c>
    </row>
    <row r="2862" spans="2:5" ht="12.75" x14ac:dyDescent="0.2">
      <c r="B2862" s="179" t="s">
        <v>3295</v>
      </c>
      <c r="C2862" s="180" t="s">
        <v>3124</v>
      </c>
      <c r="D2862" s="179" t="s">
        <v>216</v>
      </c>
      <c r="E2862" s="181">
        <v>0.1</v>
      </c>
    </row>
    <row r="2863" spans="2:5" ht="12.75" x14ac:dyDescent="0.2">
      <c r="B2863" s="179" t="s">
        <v>3296</v>
      </c>
      <c r="C2863" s="180" t="s">
        <v>3124</v>
      </c>
      <c r="D2863" s="179" t="s">
        <v>216</v>
      </c>
      <c r="E2863" s="181">
        <v>0.1</v>
      </c>
    </row>
    <row r="2864" spans="2:5" ht="12.75" x14ac:dyDescent="0.2">
      <c r="B2864" s="179" t="s">
        <v>3297</v>
      </c>
      <c r="C2864" s="180" t="s">
        <v>3124</v>
      </c>
      <c r="D2864" s="179" t="s">
        <v>216</v>
      </c>
      <c r="E2864" s="181">
        <v>0.1</v>
      </c>
    </row>
    <row r="2865" spans="2:5" ht="12.75" x14ac:dyDescent="0.2">
      <c r="B2865" s="179" t="s">
        <v>3298</v>
      </c>
      <c r="C2865" s="180" t="s">
        <v>3124</v>
      </c>
      <c r="D2865" s="179" t="s">
        <v>216</v>
      </c>
      <c r="E2865" s="181">
        <v>0.1</v>
      </c>
    </row>
    <row r="2866" spans="2:5" ht="12.75" x14ac:dyDescent="0.2">
      <c r="B2866" s="179" t="s">
        <v>3299</v>
      </c>
      <c r="C2866" s="180" t="s">
        <v>3124</v>
      </c>
      <c r="D2866" s="179" t="s">
        <v>216</v>
      </c>
      <c r="E2866" s="181">
        <v>0.1</v>
      </c>
    </row>
    <row r="2867" spans="2:5" ht="12.75" x14ac:dyDescent="0.2">
      <c r="B2867" s="179" t="s">
        <v>3300</v>
      </c>
      <c r="C2867" s="180" t="s">
        <v>3124</v>
      </c>
      <c r="D2867" s="179" t="s">
        <v>216</v>
      </c>
      <c r="E2867" s="181">
        <v>0.1</v>
      </c>
    </row>
    <row r="2868" spans="2:5" ht="12.75" x14ac:dyDescent="0.2">
      <c r="B2868" s="179" t="s">
        <v>3301</v>
      </c>
      <c r="C2868" s="180" t="s">
        <v>3124</v>
      </c>
      <c r="D2868" s="179" t="s">
        <v>216</v>
      </c>
      <c r="E2868" s="181">
        <v>0.1</v>
      </c>
    </row>
    <row r="2869" spans="2:5" ht="12.75" x14ac:dyDescent="0.2">
      <c r="B2869" s="179" t="s">
        <v>3302</v>
      </c>
      <c r="C2869" s="180" t="s">
        <v>3124</v>
      </c>
      <c r="D2869" s="179" t="s">
        <v>216</v>
      </c>
      <c r="E2869" s="181">
        <v>0.1</v>
      </c>
    </row>
    <row r="2870" spans="2:5" ht="12.75" x14ac:dyDescent="0.2">
      <c r="B2870" s="179" t="s">
        <v>3303</v>
      </c>
      <c r="C2870" s="180" t="s">
        <v>3124</v>
      </c>
      <c r="D2870" s="179" t="s">
        <v>216</v>
      </c>
      <c r="E2870" s="181">
        <v>0.1</v>
      </c>
    </row>
    <row r="2871" spans="2:5" ht="12.75" x14ac:dyDescent="0.2">
      <c r="B2871" s="179" t="s">
        <v>3304</v>
      </c>
      <c r="C2871" s="180" t="s">
        <v>3124</v>
      </c>
      <c r="D2871" s="179" t="s">
        <v>216</v>
      </c>
      <c r="E2871" s="181">
        <v>0.1</v>
      </c>
    </row>
    <row r="2872" spans="2:5" ht="12.75" x14ac:dyDescent="0.2">
      <c r="B2872" s="179" t="s">
        <v>3305</v>
      </c>
      <c r="C2872" s="180" t="s">
        <v>3124</v>
      </c>
      <c r="D2872" s="179" t="s">
        <v>216</v>
      </c>
      <c r="E2872" s="181">
        <v>0.1</v>
      </c>
    </row>
    <row r="2873" spans="2:5" ht="12.75" x14ac:dyDescent="0.2">
      <c r="B2873" s="179" t="s">
        <v>3306</v>
      </c>
      <c r="C2873" s="180" t="s">
        <v>3124</v>
      </c>
      <c r="D2873" s="179" t="s">
        <v>216</v>
      </c>
      <c r="E2873" s="181">
        <v>0.1</v>
      </c>
    </row>
    <row r="2874" spans="2:5" ht="12.75" x14ac:dyDescent="0.2">
      <c r="B2874" s="179" t="s">
        <v>3307</v>
      </c>
      <c r="C2874" s="180" t="s">
        <v>3124</v>
      </c>
      <c r="D2874" s="179" t="s">
        <v>216</v>
      </c>
      <c r="E2874" s="181">
        <v>0.1</v>
      </c>
    </row>
    <row r="2875" spans="2:5" ht="12.75" x14ac:dyDescent="0.2">
      <c r="B2875" s="179" t="s">
        <v>3308</v>
      </c>
      <c r="C2875" s="180" t="s">
        <v>3124</v>
      </c>
      <c r="D2875" s="179" t="s">
        <v>216</v>
      </c>
      <c r="E2875" s="181">
        <v>0.1</v>
      </c>
    </row>
    <row r="2876" spans="2:5" ht="12.75" x14ac:dyDescent="0.2">
      <c r="B2876" s="179" t="s">
        <v>3309</v>
      </c>
      <c r="C2876" s="180" t="s">
        <v>3124</v>
      </c>
      <c r="D2876" s="179" t="s">
        <v>216</v>
      </c>
      <c r="E2876" s="181">
        <v>0.1</v>
      </c>
    </row>
    <row r="2877" spans="2:5" ht="12.75" x14ac:dyDescent="0.2">
      <c r="B2877" s="179" t="s">
        <v>3310</v>
      </c>
      <c r="C2877" s="180" t="s">
        <v>3124</v>
      </c>
      <c r="D2877" s="179" t="s">
        <v>216</v>
      </c>
      <c r="E2877" s="181">
        <v>0.1</v>
      </c>
    </row>
    <row r="2878" spans="2:5" ht="12.75" x14ac:dyDescent="0.2">
      <c r="B2878" s="179" t="s">
        <v>3311</v>
      </c>
      <c r="C2878" s="180" t="s">
        <v>3124</v>
      </c>
      <c r="D2878" s="179" t="s">
        <v>216</v>
      </c>
      <c r="E2878" s="181">
        <v>0.1</v>
      </c>
    </row>
    <row r="2879" spans="2:5" ht="12.75" x14ac:dyDescent="0.2">
      <c r="B2879" s="179" t="s">
        <v>3312</v>
      </c>
      <c r="C2879" s="180" t="s">
        <v>3124</v>
      </c>
      <c r="D2879" s="179" t="s">
        <v>216</v>
      </c>
      <c r="E2879" s="181">
        <v>0.1</v>
      </c>
    </row>
    <row r="2880" spans="2:5" ht="12.75" x14ac:dyDescent="0.2">
      <c r="B2880" s="179" t="s">
        <v>3313</v>
      </c>
      <c r="C2880" s="180" t="s">
        <v>3124</v>
      </c>
      <c r="D2880" s="179" t="s">
        <v>216</v>
      </c>
      <c r="E2880" s="181">
        <v>0.1</v>
      </c>
    </row>
    <row r="2881" spans="2:5" ht="12.75" x14ac:dyDescent="0.2">
      <c r="B2881" s="179" t="s">
        <v>3314</v>
      </c>
      <c r="C2881" s="180" t="s">
        <v>3124</v>
      </c>
      <c r="D2881" s="179" t="s">
        <v>216</v>
      </c>
      <c r="E2881" s="181">
        <v>0.1</v>
      </c>
    </row>
    <row r="2882" spans="2:5" ht="12.75" x14ac:dyDescent="0.2">
      <c r="B2882" s="179" t="s">
        <v>3315</v>
      </c>
      <c r="C2882" s="180" t="s">
        <v>3124</v>
      </c>
      <c r="D2882" s="179" t="s">
        <v>216</v>
      </c>
      <c r="E2882" s="181">
        <v>0.1</v>
      </c>
    </row>
    <row r="2883" spans="2:5" ht="12.75" x14ac:dyDescent="0.2">
      <c r="B2883" s="179" t="s">
        <v>3316</v>
      </c>
      <c r="C2883" s="180" t="s">
        <v>3124</v>
      </c>
      <c r="D2883" s="179" t="s">
        <v>216</v>
      </c>
      <c r="E2883" s="181">
        <v>0.1</v>
      </c>
    </row>
    <row r="2884" spans="2:5" ht="12.75" x14ac:dyDescent="0.2">
      <c r="B2884" s="179" t="s">
        <v>3317</v>
      </c>
      <c r="C2884" s="180" t="s">
        <v>3124</v>
      </c>
      <c r="D2884" s="179" t="s">
        <v>216</v>
      </c>
      <c r="E2884" s="181">
        <v>0.1</v>
      </c>
    </row>
    <row r="2885" spans="2:5" ht="12.75" x14ac:dyDescent="0.2">
      <c r="B2885" s="179" t="s">
        <v>3318</v>
      </c>
      <c r="C2885" s="180" t="s">
        <v>3124</v>
      </c>
      <c r="D2885" s="179" t="s">
        <v>216</v>
      </c>
      <c r="E2885" s="181">
        <v>0.1</v>
      </c>
    </row>
    <row r="2886" spans="2:5" ht="12.75" x14ac:dyDescent="0.2">
      <c r="B2886" s="179" t="s">
        <v>3319</v>
      </c>
      <c r="C2886" s="180" t="s">
        <v>3124</v>
      </c>
      <c r="D2886" s="179" t="s">
        <v>216</v>
      </c>
      <c r="E2886" s="181">
        <v>0.1</v>
      </c>
    </row>
    <row r="2887" spans="2:5" ht="12.75" x14ac:dyDescent="0.2">
      <c r="B2887" s="179" t="s">
        <v>3320</v>
      </c>
      <c r="C2887" s="180" t="s">
        <v>3124</v>
      </c>
      <c r="D2887" s="179" t="s">
        <v>216</v>
      </c>
      <c r="E2887" s="181">
        <v>0.1</v>
      </c>
    </row>
    <row r="2888" spans="2:5" ht="12.75" x14ac:dyDescent="0.2">
      <c r="B2888" s="179" t="s">
        <v>3321</v>
      </c>
      <c r="C2888" s="180" t="s">
        <v>3124</v>
      </c>
      <c r="D2888" s="179" t="s">
        <v>216</v>
      </c>
      <c r="E2888" s="181">
        <v>0.1</v>
      </c>
    </row>
    <row r="2889" spans="2:5" ht="12.75" x14ac:dyDescent="0.2">
      <c r="B2889" s="179" t="s">
        <v>3322</v>
      </c>
      <c r="C2889" s="180" t="s">
        <v>3124</v>
      </c>
      <c r="D2889" s="179" t="s">
        <v>216</v>
      </c>
      <c r="E2889" s="181">
        <v>0.1</v>
      </c>
    </row>
    <row r="2890" spans="2:5" ht="12.75" x14ac:dyDescent="0.2">
      <c r="B2890" s="179" t="s">
        <v>3323</v>
      </c>
      <c r="C2890" s="180" t="s">
        <v>3124</v>
      </c>
      <c r="D2890" s="179" t="s">
        <v>216</v>
      </c>
      <c r="E2890" s="181">
        <v>0.1</v>
      </c>
    </row>
    <row r="2891" spans="2:5" ht="12.75" x14ac:dyDescent="0.2">
      <c r="B2891" s="179" t="s">
        <v>3324</v>
      </c>
      <c r="C2891" s="180" t="s">
        <v>3124</v>
      </c>
      <c r="D2891" s="179" t="s">
        <v>214</v>
      </c>
      <c r="E2891" s="181">
        <v>0.1</v>
      </c>
    </row>
    <row r="2892" spans="2:5" ht="12.75" x14ac:dyDescent="0.2">
      <c r="B2892" s="179" t="s">
        <v>3325</v>
      </c>
      <c r="C2892" s="180" t="s">
        <v>3326</v>
      </c>
      <c r="D2892" s="179" t="s">
        <v>214</v>
      </c>
      <c r="E2892" s="181">
        <v>0.5</v>
      </c>
    </row>
    <row r="2893" spans="2:5" ht="12.75" x14ac:dyDescent="0.2">
      <c r="B2893" s="179" t="s">
        <v>3327</v>
      </c>
      <c r="C2893" s="180" t="s">
        <v>3326</v>
      </c>
      <c r="D2893" s="179" t="s">
        <v>216</v>
      </c>
      <c r="E2893" s="181">
        <v>0.5</v>
      </c>
    </row>
    <row r="2894" spans="2:5" ht="12.75" x14ac:dyDescent="0.2">
      <c r="B2894" s="179" t="s">
        <v>3328</v>
      </c>
      <c r="C2894" s="180" t="s">
        <v>3326</v>
      </c>
      <c r="D2894" s="179" t="s">
        <v>216</v>
      </c>
      <c r="E2894" s="181">
        <v>0.5</v>
      </c>
    </row>
    <row r="2895" spans="2:5" ht="12.75" x14ac:dyDescent="0.2">
      <c r="B2895" s="179" t="s">
        <v>3329</v>
      </c>
      <c r="C2895" s="180" t="s">
        <v>3326</v>
      </c>
      <c r="D2895" s="179" t="s">
        <v>216</v>
      </c>
      <c r="E2895" s="181">
        <v>0.5</v>
      </c>
    </row>
    <row r="2896" spans="2:5" ht="12.75" x14ac:dyDescent="0.2">
      <c r="B2896" s="179" t="s">
        <v>3330</v>
      </c>
      <c r="C2896" s="180" t="s">
        <v>3326</v>
      </c>
      <c r="D2896" s="179" t="s">
        <v>216</v>
      </c>
      <c r="E2896" s="181">
        <v>0.5</v>
      </c>
    </row>
    <row r="2897" spans="2:5" ht="12.75" x14ac:dyDescent="0.2">
      <c r="B2897" s="179" t="s">
        <v>3331</v>
      </c>
      <c r="C2897" s="180" t="s">
        <v>3326</v>
      </c>
      <c r="D2897" s="179" t="s">
        <v>216</v>
      </c>
      <c r="E2897" s="181">
        <v>0.5</v>
      </c>
    </row>
    <row r="2898" spans="2:5" ht="12.75" x14ac:dyDescent="0.2">
      <c r="B2898" s="179" t="s">
        <v>3332</v>
      </c>
      <c r="C2898" s="180" t="s">
        <v>3326</v>
      </c>
      <c r="D2898" s="179" t="s">
        <v>216</v>
      </c>
      <c r="E2898" s="181">
        <v>0.5</v>
      </c>
    </row>
    <row r="2899" spans="2:5" ht="12.75" x14ac:dyDescent="0.2">
      <c r="B2899" s="179" t="s">
        <v>3333</v>
      </c>
      <c r="C2899" s="180" t="s">
        <v>3326</v>
      </c>
      <c r="D2899" s="179" t="s">
        <v>216</v>
      </c>
      <c r="E2899" s="181">
        <v>0.5</v>
      </c>
    </row>
    <row r="2900" spans="2:5" ht="12.75" x14ac:dyDescent="0.2">
      <c r="B2900" s="179" t="s">
        <v>3334</v>
      </c>
      <c r="C2900" s="180" t="s">
        <v>3326</v>
      </c>
      <c r="D2900" s="179" t="s">
        <v>216</v>
      </c>
      <c r="E2900" s="181">
        <v>0.5</v>
      </c>
    </row>
    <row r="2901" spans="2:5" ht="12.75" x14ac:dyDescent="0.2">
      <c r="B2901" s="179" t="s">
        <v>3335</v>
      </c>
      <c r="C2901" s="180" t="s">
        <v>3326</v>
      </c>
      <c r="D2901" s="179" t="s">
        <v>216</v>
      </c>
      <c r="E2901" s="181">
        <v>0.5</v>
      </c>
    </row>
    <row r="2902" spans="2:5" ht="12.75" x14ac:dyDescent="0.2">
      <c r="B2902" s="179" t="s">
        <v>3336</v>
      </c>
      <c r="C2902" s="180" t="s">
        <v>3326</v>
      </c>
      <c r="D2902" s="179" t="s">
        <v>216</v>
      </c>
      <c r="E2902" s="181">
        <v>0.5</v>
      </c>
    </row>
    <row r="2903" spans="2:5" ht="12.75" x14ac:dyDescent="0.2">
      <c r="B2903" s="179" t="s">
        <v>3337</v>
      </c>
      <c r="C2903" s="180" t="s">
        <v>3326</v>
      </c>
      <c r="D2903" s="179" t="s">
        <v>216</v>
      </c>
      <c r="E2903" s="181">
        <v>0.5</v>
      </c>
    </row>
    <row r="2904" spans="2:5" ht="12.75" x14ac:dyDescent="0.2">
      <c r="B2904" s="179" t="s">
        <v>3338</v>
      </c>
      <c r="C2904" s="180" t="s">
        <v>3326</v>
      </c>
      <c r="D2904" s="179" t="s">
        <v>216</v>
      </c>
      <c r="E2904" s="181">
        <v>0.5</v>
      </c>
    </row>
    <row r="2905" spans="2:5" ht="12.75" x14ac:dyDescent="0.2">
      <c r="B2905" s="179" t="s">
        <v>3339</v>
      </c>
      <c r="C2905" s="180" t="s">
        <v>3326</v>
      </c>
      <c r="D2905" s="179" t="s">
        <v>216</v>
      </c>
      <c r="E2905" s="181">
        <v>0.5</v>
      </c>
    </row>
    <row r="2906" spans="2:5" ht="12.75" x14ac:dyDescent="0.2">
      <c r="B2906" s="179" t="s">
        <v>3340</v>
      </c>
      <c r="C2906" s="180" t="s">
        <v>3326</v>
      </c>
      <c r="D2906" s="179" t="s">
        <v>216</v>
      </c>
      <c r="E2906" s="181">
        <v>0.5</v>
      </c>
    </row>
    <row r="2907" spans="2:5" ht="12.75" x14ac:dyDescent="0.2">
      <c r="B2907" s="179" t="s">
        <v>3341</v>
      </c>
      <c r="C2907" s="180" t="s">
        <v>3326</v>
      </c>
      <c r="D2907" s="179" t="s">
        <v>216</v>
      </c>
      <c r="E2907" s="181">
        <v>0.5</v>
      </c>
    </row>
    <row r="2908" spans="2:5" ht="12.75" x14ac:dyDescent="0.2">
      <c r="B2908" s="179" t="s">
        <v>3342</v>
      </c>
      <c r="C2908" s="180" t="s">
        <v>3343</v>
      </c>
      <c r="D2908" s="179" t="s">
        <v>214</v>
      </c>
      <c r="E2908" s="181">
        <v>0.5</v>
      </c>
    </row>
    <row r="2909" spans="2:5" ht="12.75" x14ac:dyDescent="0.2">
      <c r="B2909" s="179" t="s">
        <v>3091</v>
      </c>
      <c r="C2909" s="180" t="s">
        <v>3343</v>
      </c>
      <c r="D2909" s="179" t="s">
        <v>214</v>
      </c>
      <c r="E2909" s="181">
        <v>0.5</v>
      </c>
    </row>
    <row r="2910" spans="2:5" ht="12.75" x14ac:dyDescent="0.2">
      <c r="B2910" s="179" t="s">
        <v>3344</v>
      </c>
      <c r="C2910" s="180" t="s">
        <v>3345</v>
      </c>
      <c r="D2910" s="179" t="s">
        <v>214</v>
      </c>
      <c r="E2910" s="181">
        <v>0.5</v>
      </c>
    </row>
    <row r="2911" spans="2:5" ht="12.75" x14ac:dyDescent="0.2">
      <c r="B2911" s="179" t="s">
        <v>3342</v>
      </c>
      <c r="C2911" s="180" t="s">
        <v>3345</v>
      </c>
      <c r="D2911" s="179" t="s">
        <v>214</v>
      </c>
      <c r="E2911" s="181">
        <v>0.5</v>
      </c>
    </row>
    <row r="2912" spans="2:5" ht="12.75" x14ac:dyDescent="0.2">
      <c r="B2912" s="179" t="s">
        <v>3346</v>
      </c>
      <c r="C2912" s="180" t="s">
        <v>3345</v>
      </c>
      <c r="D2912" s="179" t="s">
        <v>216</v>
      </c>
      <c r="E2912" s="181">
        <v>0.5</v>
      </c>
    </row>
    <row r="2913" spans="2:5" ht="12.75" x14ac:dyDescent="0.2">
      <c r="B2913" s="179" t="s">
        <v>3347</v>
      </c>
      <c r="C2913" s="180" t="s">
        <v>3348</v>
      </c>
      <c r="D2913" s="179" t="s">
        <v>214</v>
      </c>
      <c r="E2913" s="181">
        <v>0.5</v>
      </c>
    </row>
    <row r="2914" spans="2:5" ht="12.75" x14ac:dyDescent="0.2">
      <c r="B2914" s="179" t="s">
        <v>3349</v>
      </c>
      <c r="C2914" s="180" t="s">
        <v>3348</v>
      </c>
      <c r="D2914" s="179" t="s">
        <v>214</v>
      </c>
      <c r="E2914" s="181">
        <v>0.5</v>
      </c>
    </row>
    <row r="2915" spans="2:5" ht="12.75" x14ac:dyDescent="0.2">
      <c r="B2915" s="179" t="s">
        <v>3350</v>
      </c>
      <c r="C2915" s="180" t="s">
        <v>3351</v>
      </c>
      <c r="D2915" s="179" t="s">
        <v>214</v>
      </c>
      <c r="E2915" s="181">
        <v>0.5</v>
      </c>
    </row>
    <row r="2916" spans="2:5" ht="12.75" x14ac:dyDescent="0.2">
      <c r="B2916" s="179" t="s">
        <v>3352</v>
      </c>
      <c r="C2916" s="180" t="s">
        <v>3353</v>
      </c>
      <c r="D2916" s="179" t="s">
        <v>214</v>
      </c>
      <c r="E2916" s="181">
        <v>0.5</v>
      </c>
    </row>
    <row r="2917" spans="2:5" ht="12.75" x14ac:dyDescent="0.2">
      <c r="B2917" s="179" t="s">
        <v>3354</v>
      </c>
      <c r="C2917" s="180" t="s">
        <v>3353</v>
      </c>
      <c r="D2917" s="179" t="s">
        <v>216</v>
      </c>
      <c r="E2917" s="181">
        <v>0.5</v>
      </c>
    </row>
    <row r="2918" spans="2:5" ht="12.75" x14ac:dyDescent="0.2">
      <c r="B2918" s="179" t="s">
        <v>3355</v>
      </c>
      <c r="C2918" s="180" t="s">
        <v>3353</v>
      </c>
      <c r="D2918" s="179" t="s">
        <v>216</v>
      </c>
      <c r="E2918" s="181">
        <v>0.5</v>
      </c>
    </row>
    <row r="2919" spans="2:5" ht="12.75" x14ac:dyDescent="0.2">
      <c r="B2919" s="179" t="s">
        <v>3356</v>
      </c>
      <c r="C2919" s="180" t="s">
        <v>3353</v>
      </c>
      <c r="D2919" s="179" t="s">
        <v>216</v>
      </c>
      <c r="E2919" s="181">
        <v>0.5</v>
      </c>
    </row>
    <row r="2920" spans="2:5" ht="12.75" x14ac:dyDescent="0.2">
      <c r="B2920" s="179" t="s">
        <v>3357</v>
      </c>
      <c r="C2920" s="180" t="s">
        <v>3353</v>
      </c>
      <c r="D2920" s="179" t="s">
        <v>216</v>
      </c>
      <c r="E2920" s="181">
        <v>0.5</v>
      </c>
    </row>
    <row r="2921" spans="2:5" ht="12.75" x14ac:dyDescent="0.2">
      <c r="B2921" s="179" t="s">
        <v>3358</v>
      </c>
      <c r="C2921" s="180" t="s">
        <v>3353</v>
      </c>
      <c r="D2921" s="179" t="s">
        <v>216</v>
      </c>
      <c r="E2921" s="181">
        <v>0.5</v>
      </c>
    </row>
    <row r="2922" spans="2:5" ht="12.75" x14ac:dyDescent="0.2">
      <c r="B2922" s="179" t="s">
        <v>3359</v>
      </c>
      <c r="C2922" s="180" t="s">
        <v>3360</v>
      </c>
      <c r="D2922" s="179" t="s">
        <v>214</v>
      </c>
      <c r="E2922" s="181">
        <v>0.5</v>
      </c>
    </row>
    <row r="2923" spans="2:5" ht="12.75" x14ac:dyDescent="0.2">
      <c r="B2923" s="179" t="s">
        <v>3361</v>
      </c>
      <c r="C2923" s="180" t="s">
        <v>3360</v>
      </c>
      <c r="D2923" s="179" t="s">
        <v>216</v>
      </c>
      <c r="E2923" s="181">
        <v>0.5</v>
      </c>
    </row>
    <row r="2924" spans="2:5" ht="12.75" x14ac:dyDescent="0.2">
      <c r="B2924" s="179" t="s">
        <v>3362</v>
      </c>
      <c r="C2924" s="180" t="s">
        <v>3360</v>
      </c>
      <c r="D2924" s="179" t="s">
        <v>216</v>
      </c>
      <c r="E2924" s="181">
        <v>0.5</v>
      </c>
    </row>
    <row r="2925" spans="2:5" ht="12.75" x14ac:dyDescent="0.2">
      <c r="B2925" s="179" t="s">
        <v>3363</v>
      </c>
      <c r="C2925" s="180" t="s">
        <v>3360</v>
      </c>
      <c r="D2925" s="179" t="s">
        <v>216</v>
      </c>
      <c r="E2925" s="181">
        <v>0.5</v>
      </c>
    </row>
    <row r="2926" spans="2:5" ht="12.75" x14ac:dyDescent="0.2">
      <c r="B2926" s="179" t="s">
        <v>3364</v>
      </c>
      <c r="C2926" s="180" t="s">
        <v>3365</v>
      </c>
      <c r="D2926" s="179" t="s">
        <v>214</v>
      </c>
      <c r="E2926" s="181">
        <v>0.1</v>
      </c>
    </row>
    <row r="2927" spans="2:5" ht="12.75" x14ac:dyDescent="0.2">
      <c r="B2927" s="179" t="s">
        <v>3366</v>
      </c>
      <c r="C2927" s="180" t="s">
        <v>3365</v>
      </c>
      <c r="D2927" s="179" t="s">
        <v>216</v>
      </c>
      <c r="E2927" s="181">
        <v>0.5</v>
      </c>
    </row>
    <row r="2928" spans="2:5" ht="12.75" x14ac:dyDescent="0.2">
      <c r="B2928" s="179" t="s">
        <v>3367</v>
      </c>
      <c r="C2928" s="180" t="s">
        <v>3365</v>
      </c>
      <c r="D2928" s="179" t="s">
        <v>216</v>
      </c>
      <c r="E2928" s="181">
        <v>0.5</v>
      </c>
    </row>
    <row r="2929" spans="2:5" ht="12.75" x14ac:dyDescent="0.2">
      <c r="B2929" s="179" t="s">
        <v>3368</v>
      </c>
      <c r="C2929" s="180" t="s">
        <v>3365</v>
      </c>
      <c r="D2929" s="179" t="s">
        <v>216</v>
      </c>
      <c r="E2929" s="181">
        <v>0.5</v>
      </c>
    </row>
    <row r="2930" spans="2:5" ht="12.75" x14ac:dyDescent="0.2">
      <c r="B2930" s="179" t="s">
        <v>3369</v>
      </c>
      <c r="C2930" s="180" t="s">
        <v>3370</v>
      </c>
      <c r="D2930" s="179" t="s">
        <v>214</v>
      </c>
      <c r="E2930" s="181">
        <v>0.5</v>
      </c>
    </row>
    <row r="2931" spans="2:5" ht="12.75" x14ac:dyDescent="0.2">
      <c r="B2931" s="179" t="s">
        <v>3371</v>
      </c>
      <c r="C2931" s="180" t="s">
        <v>3370</v>
      </c>
      <c r="D2931" s="179" t="s">
        <v>216</v>
      </c>
      <c r="E2931" s="181">
        <v>0.5</v>
      </c>
    </row>
    <row r="2932" spans="2:5" ht="12.75" x14ac:dyDescent="0.2">
      <c r="B2932" s="179" t="s">
        <v>3372</v>
      </c>
      <c r="C2932" s="180" t="s">
        <v>3370</v>
      </c>
      <c r="D2932" s="179" t="s">
        <v>216</v>
      </c>
      <c r="E2932" s="181">
        <v>0.5</v>
      </c>
    </row>
    <row r="2933" spans="2:5" ht="12.75" x14ac:dyDescent="0.2">
      <c r="B2933" s="179" t="s">
        <v>3373</v>
      </c>
      <c r="C2933" s="180" t="s">
        <v>3370</v>
      </c>
      <c r="D2933" s="179" t="s">
        <v>216</v>
      </c>
      <c r="E2933" s="181">
        <v>0.5</v>
      </c>
    </row>
    <row r="2934" spans="2:5" ht="12.75" x14ac:dyDescent="0.2">
      <c r="B2934" s="179" t="s">
        <v>3374</v>
      </c>
      <c r="C2934" s="180" t="s">
        <v>3370</v>
      </c>
      <c r="D2934" s="179" t="s">
        <v>216</v>
      </c>
      <c r="E2934" s="181">
        <v>0.5</v>
      </c>
    </row>
    <row r="2935" spans="2:5" ht="12.75" x14ac:dyDescent="0.2">
      <c r="B2935" s="179" t="s">
        <v>3375</v>
      </c>
      <c r="C2935" s="180" t="s">
        <v>3370</v>
      </c>
      <c r="D2935" s="179" t="s">
        <v>216</v>
      </c>
      <c r="E2935" s="181">
        <v>0.5</v>
      </c>
    </row>
    <row r="2936" spans="2:5" ht="12.75" x14ac:dyDescent="0.2">
      <c r="B2936" s="179" t="s">
        <v>3376</v>
      </c>
      <c r="C2936" s="180" t="s">
        <v>3370</v>
      </c>
      <c r="D2936" s="179" t="s">
        <v>216</v>
      </c>
      <c r="E2936" s="181">
        <v>0.5</v>
      </c>
    </row>
    <row r="2937" spans="2:5" ht="12.75" x14ac:dyDescent="0.2">
      <c r="B2937" s="179" t="s">
        <v>3377</v>
      </c>
      <c r="C2937" s="180" t="s">
        <v>3370</v>
      </c>
      <c r="D2937" s="179" t="s">
        <v>216</v>
      </c>
      <c r="E2937" s="181">
        <v>0.5</v>
      </c>
    </row>
    <row r="2938" spans="2:5" ht="12.75" x14ac:dyDescent="0.2">
      <c r="B2938" s="179" t="s">
        <v>3378</v>
      </c>
      <c r="C2938" s="180" t="s">
        <v>3370</v>
      </c>
      <c r="D2938" s="179" t="s">
        <v>216</v>
      </c>
      <c r="E2938" s="181">
        <v>0.5</v>
      </c>
    </row>
    <row r="2939" spans="2:5" ht="12.75" x14ac:dyDescent="0.2">
      <c r="B2939" s="179" t="s">
        <v>3379</v>
      </c>
      <c r="C2939" s="180" t="s">
        <v>3370</v>
      </c>
      <c r="D2939" s="179" t="s">
        <v>216</v>
      </c>
      <c r="E2939" s="181">
        <v>0.5</v>
      </c>
    </row>
    <row r="2940" spans="2:5" ht="12.75" x14ac:dyDescent="0.2">
      <c r="B2940" s="179" t="s">
        <v>3380</v>
      </c>
      <c r="C2940" s="180" t="s">
        <v>3370</v>
      </c>
      <c r="D2940" s="179" t="s">
        <v>216</v>
      </c>
      <c r="E2940" s="181">
        <v>0.5</v>
      </c>
    </row>
    <row r="2941" spans="2:5" ht="12.75" x14ac:dyDescent="0.2">
      <c r="B2941" s="179" t="s">
        <v>3381</v>
      </c>
      <c r="C2941" s="180" t="s">
        <v>3370</v>
      </c>
      <c r="D2941" s="179" t="s">
        <v>216</v>
      </c>
      <c r="E2941" s="181">
        <v>0.5</v>
      </c>
    </row>
    <row r="2942" spans="2:5" ht="12.75" x14ac:dyDescent="0.2">
      <c r="B2942" s="179" t="s">
        <v>3382</v>
      </c>
      <c r="C2942" s="180" t="s">
        <v>3383</v>
      </c>
      <c r="D2942" s="179" t="s">
        <v>214</v>
      </c>
      <c r="E2942" s="181">
        <v>0.1</v>
      </c>
    </row>
    <row r="2943" spans="2:5" ht="12.75" x14ac:dyDescent="0.2">
      <c r="B2943" s="179" t="s">
        <v>3384</v>
      </c>
      <c r="C2943" s="180" t="s">
        <v>3383</v>
      </c>
      <c r="D2943" s="179" t="s">
        <v>216</v>
      </c>
      <c r="E2943" s="181">
        <v>0.1</v>
      </c>
    </row>
    <row r="2944" spans="2:5" ht="12.75" x14ac:dyDescent="0.2">
      <c r="B2944" s="179" t="s">
        <v>3385</v>
      </c>
      <c r="C2944" s="180" t="s">
        <v>3383</v>
      </c>
      <c r="D2944" s="179" t="s">
        <v>216</v>
      </c>
      <c r="E2944" s="181">
        <v>0.1</v>
      </c>
    </row>
    <row r="2945" spans="2:5" ht="12.75" x14ac:dyDescent="0.2">
      <c r="B2945" s="179" t="s">
        <v>3386</v>
      </c>
      <c r="C2945" s="180" t="s">
        <v>3383</v>
      </c>
      <c r="D2945" s="179" t="s">
        <v>216</v>
      </c>
      <c r="E2945" s="181">
        <v>0.1</v>
      </c>
    </row>
    <row r="2946" spans="2:5" ht="12.75" x14ac:dyDescent="0.2">
      <c r="B2946" s="179" t="s">
        <v>3387</v>
      </c>
      <c r="C2946" s="180" t="s">
        <v>3383</v>
      </c>
      <c r="D2946" s="179" t="s">
        <v>216</v>
      </c>
      <c r="E2946" s="181">
        <v>0.1</v>
      </c>
    </row>
    <row r="2947" spans="2:5" ht="12.75" x14ac:dyDescent="0.2">
      <c r="B2947" s="179" t="s">
        <v>3388</v>
      </c>
      <c r="C2947" s="180" t="s">
        <v>3389</v>
      </c>
      <c r="D2947" s="179" t="s">
        <v>216</v>
      </c>
      <c r="E2947" s="181">
        <v>2</v>
      </c>
    </row>
    <row r="2948" spans="2:5" ht="12.75" x14ac:dyDescent="0.2">
      <c r="B2948" s="179" t="s">
        <v>3390</v>
      </c>
      <c r="C2948" s="180" t="s">
        <v>3389</v>
      </c>
      <c r="D2948" s="179" t="s">
        <v>216</v>
      </c>
      <c r="E2948" s="181">
        <v>2</v>
      </c>
    </row>
    <row r="2949" spans="2:5" ht="12.75" x14ac:dyDescent="0.2">
      <c r="B2949" s="179" t="s">
        <v>3391</v>
      </c>
      <c r="C2949" s="180" t="s">
        <v>3389</v>
      </c>
      <c r="D2949" s="179" t="s">
        <v>216</v>
      </c>
      <c r="E2949" s="181">
        <v>2</v>
      </c>
    </row>
    <row r="2950" spans="2:5" ht="12.75" x14ac:dyDescent="0.2">
      <c r="B2950" s="179" t="s">
        <v>3392</v>
      </c>
      <c r="C2950" s="180" t="s">
        <v>3389</v>
      </c>
      <c r="D2950" s="179" t="s">
        <v>216</v>
      </c>
      <c r="E2950" s="181">
        <v>2</v>
      </c>
    </row>
    <row r="2951" spans="2:5" ht="12.75" x14ac:dyDescent="0.2">
      <c r="B2951" s="179" t="s">
        <v>3387</v>
      </c>
      <c r="C2951" s="180" t="s">
        <v>3389</v>
      </c>
      <c r="D2951" s="179" t="s">
        <v>216</v>
      </c>
      <c r="E2951" s="181">
        <v>2</v>
      </c>
    </row>
    <row r="2952" spans="2:5" ht="12.75" x14ac:dyDescent="0.2">
      <c r="B2952" s="179" t="s">
        <v>3393</v>
      </c>
      <c r="C2952" s="180" t="s">
        <v>3394</v>
      </c>
      <c r="D2952" s="179" t="s">
        <v>214</v>
      </c>
      <c r="E2952" s="181">
        <v>0.5</v>
      </c>
    </row>
    <row r="2953" spans="2:5" ht="12.75" x14ac:dyDescent="0.2">
      <c r="B2953" s="179" t="s">
        <v>3395</v>
      </c>
      <c r="C2953" s="180" t="s">
        <v>3394</v>
      </c>
      <c r="D2953" s="179" t="s">
        <v>214</v>
      </c>
      <c r="E2953" s="181">
        <v>0.5</v>
      </c>
    </row>
    <row r="2954" spans="2:5" ht="12.75" x14ac:dyDescent="0.2">
      <c r="B2954" s="179" t="s">
        <v>3396</v>
      </c>
      <c r="C2954" s="180" t="s">
        <v>3394</v>
      </c>
      <c r="D2954" s="179" t="s">
        <v>214</v>
      </c>
      <c r="E2954" s="181">
        <v>0.5</v>
      </c>
    </row>
    <row r="2955" spans="2:5" ht="12.75" x14ac:dyDescent="0.2">
      <c r="B2955" s="179" t="s">
        <v>3397</v>
      </c>
      <c r="C2955" s="180" t="s">
        <v>3398</v>
      </c>
      <c r="D2955" s="179" t="s">
        <v>216</v>
      </c>
      <c r="E2955" s="181">
        <v>0.5</v>
      </c>
    </row>
    <row r="2956" spans="2:5" ht="12.75" x14ac:dyDescent="0.2">
      <c r="B2956" s="179" t="s">
        <v>3399</v>
      </c>
      <c r="C2956" s="180" t="s">
        <v>3400</v>
      </c>
      <c r="D2956" s="179" t="s">
        <v>216</v>
      </c>
      <c r="E2956" s="181">
        <v>4</v>
      </c>
    </row>
    <row r="2957" spans="2:5" ht="12.75" x14ac:dyDescent="0.2">
      <c r="B2957" s="179" t="s">
        <v>3095</v>
      </c>
      <c r="C2957" s="180" t="s">
        <v>3401</v>
      </c>
      <c r="D2957" s="179" t="s">
        <v>214</v>
      </c>
      <c r="E2957" s="181">
        <v>0.5</v>
      </c>
    </row>
    <row r="2958" spans="2:5" ht="12.75" x14ac:dyDescent="0.2">
      <c r="B2958" s="179" t="s">
        <v>3402</v>
      </c>
      <c r="C2958" s="180" t="s">
        <v>3403</v>
      </c>
      <c r="D2958" s="179" t="s">
        <v>214</v>
      </c>
      <c r="E2958" s="181">
        <v>2</v>
      </c>
    </row>
    <row r="2959" spans="2:5" ht="12.75" x14ac:dyDescent="0.2">
      <c r="B2959" s="179" t="s">
        <v>3404</v>
      </c>
      <c r="C2959" s="180" t="s">
        <v>3403</v>
      </c>
      <c r="D2959" s="179" t="s">
        <v>216</v>
      </c>
      <c r="E2959" s="181">
        <v>2</v>
      </c>
    </row>
    <row r="2960" spans="2:5" ht="12.75" x14ac:dyDescent="0.2">
      <c r="B2960" s="179" t="s">
        <v>3405</v>
      </c>
      <c r="C2960" s="180" t="s">
        <v>3406</v>
      </c>
      <c r="D2960" s="179" t="s">
        <v>214</v>
      </c>
      <c r="E2960" s="181">
        <v>0.5</v>
      </c>
    </row>
    <row r="2961" spans="2:5" ht="12.75" x14ac:dyDescent="0.2">
      <c r="B2961" s="179" t="s">
        <v>3407</v>
      </c>
      <c r="C2961" s="180" t="s">
        <v>3408</v>
      </c>
      <c r="D2961" s="179" t="s">
        <v>214</v>
      </c>
      <c r="E2961" s="181">
        <v>0.1</v>
      </c>
    </row>
    <row r="2962" spans="2:5" ht="12.75" x14ac:dyDescent="0.2">
      <c r="B2962" s="179" t="s">
        <v>3409</v>
      </c>
      <c r="C2962" s="180" t="s">
        <v>3408</v>
      </c>
      <c r="D2962" s="179" t="s">
        <v>214</v>
      </c>
      <c r="E2962" s="181">
        <v>0.1</v>
      </c>
    </row>
    <row r="2963" spans="2:5" ht="12.75" x14ac:dyDescent="0.2">
      <c r="B2963" s="179" t="s">
        <v>3410</v>
      </c>
      <c r="C2963" s="180" t="s">
        <v>3408</v>
      </c>
      <c r="D2963" s="179" t="s">
        <v>216</v>
      </c>
      <c r="E2963" s="181">
        <v>0.1</v>
      </c>
    </row>
    <row r="2964" spans="2:5" ht="12.75" x14ac:dyDescent="0.2">
      <c r="B2964" s="179" t="s">
        <v>3411</v>
      </c>
      <c r="C2964" s="180" t="s">
        <v>3408</v>
      </c>
      <c r="D2964" s="179" t="s">
        <v>216</v>
      </c>
      <c r="E2964" s="181">
        <v>0.1</v>
      </c>
    </row>
    <row r="2965" spans="2:5" ht="12.75" x14ac:dyDescent="0.2">
      <c r="B2965" s="179" t="s">
        <v>3412</v>
      </c>
      <c r="C2965" s="180" t="s">
        <v>3408</v>
      </c>
      <c r="D2965" s="179" t="s">
        <v>216</v>
      </c>
      <c r="E2965" s="181">
        <v>0.1</v>
      </c>
    </row>
    <row r="2966" spans="2:5" ht="12.75" x14ac:dyDescent="0.2">
      <c r="B2966" s="179" t="s">
        <v>3413</v>
      </c>
      <c r="C2966" s="180" t="s">
        <v>3408</v>
      </c>
      <c r="D2966" s="179" t="s">
        <v>216</v>
      </c>
      <c r="E2966" s="181">
        <v>0.1</v>
      </c>
    </row>
    <row r="2967" spans="2:5" ht="12.75" x14ac:dyDescent="0.2">
      <c r="B2967" s="179" t="s">
        <v>3414</v>
      </c>
      <c r="C2967" s="180" t="s">
        <v>3408</v>
      </c>
      <c r="D2967" s="179" t="s">
        <v>216</v>
      </c>
      <c r="E2967" s="181">
        <v>0.1</v>
      </c>
    </row>
    <row r="2968" spans="2:5" ht="12.75" x14ac:dyDescent="0.2">
      <c r="B2968" s="179" t="s">
        <v>3415</v>
      </c>
      <c r="C2968" s="180" t="s">
        <v>3408</v>
      </c>
      <c r="D2968" s="179" t="s">
        <v>216</v>
      </c>
      <c r="E2968" s="181">
        <v>0.1</v>
      </c>
    </row>
    <row r="2969" spans="2:5" ht="12.75" x14ac:dyDescent="0.2">
      <c r="B2969" s="179" t="s">
        <v>3416</v>
      </c>
      <c r="C2969" s="180" t="s">
        <v>3408</v>
      </c>
      <c r="D2969" s="179" t="s">
        <v>216</v>
      </c>
      <c r="E2969" s="181">
        <v>0.1</v>
      </c>
    </row>
    <row r="2970" spans="2:5" ht="12.75" x14ac:dyDescent="0.2">
      <c r="B2970" s="179" t="s">
        <v>3417</v>
      </c>
      <c r="C2970" s="180" t="s">
        <v>3418</v>
      </c>
      <c r="D2970" s="179" t="s">
        <v>214</v>
      </c>
      <c r="E2970" s="181">
        <v>2</v>
      </c>
    </row>
    <row r="2971" spans="2:5" ht="12.75" x14ac:dyDescent="0.2">
      <c r="B2971" s="179" t="s">
        <v>3419</v>
      </c>
      <c r="C2971" s="180" t="s">
        <v>3418</v>
      </c>
      <c r="D2971" s="179" t="s">
        <v>216</v>
      </c>
      <c r="E2971" s="181">
        <v>2</v>
      </c>
    </row>
    <row r="2972" spans="2:5" ht="12.75" x14ac:dyDescent="0.2">
      <c r="B2972" s="179" t="s">
        <v>3420</v>
      </c>
      <c r="C2972" s="180" t="s">
        <v>3418</v>
      </c>
      <c r="D2972" s="179" t="s">
        <v>216</v>
      </c>
      <c r="E2972" s="181">
        <v>2</v>
      </c>
    </row>
    <row r="2973" spans="2:5" ht="12.75" x14ac:dyDescent="0.2">
      <c r="B2973" s="179" t="s">
        <v>3421</v>
      </c>
      <c r="C2973" s="180" t="s">
        <v>3418</v>
      </c>
      <c r="D2973" s="179" t="s">
        <v>216</v>
      </c>
      <c r="E2973" s="181">
        <v>2</v>
      </c>
    </row>
    <row r="2974" spans="2:5" ht="12.75" x14ac:dyDescent="0.2">
      <c r="B2974" s="179" t="s">
        <v>3422</v>
      </c>
      <c r="C2974" s="180" t="s">
        <v>3418</v>
      </c>
      <c r="D2974" s="179" t="s">
        <v>216</v>
      </c>
      <c r="E2974" s="181">
        <v>2</v>
      </c>
    </row>
    <row r="2975" spans="2:5" ht="12.75" x14ac:dyDescent="0.2">
      <c r="B2975" s="179" t="s">
        <v>3423</v>
      </c>
      <c r="C2975" s="180" t="s">
        <v>3418</v>
      </c>
      <c r="D2975" s="179" t="s">
        <v>216</v>
      </c>
      <c r="E2975" s="181">
        <v>2</v>
      </c>
    </row>
    <row r="2976" spans="2:5" ht="12.75" x14ac:dyDescent="0.2">
      <c r="B2976" s="179" t="s">
        <v>3424</v>
      </c>
      <c r="C2976" s="180" t="s">
        <v>3418</v>
      </c>
      <c r="D2976" s="179" t="s">
        <v>216</v>
      </c>
      <c r="E2976" s="181">
        <v>2</v>
      </c>
    </row>
    <row r="2977" spans="2:5" ht="12.75" x14ac:dyDescent="0.2">
      <c r="B2977" s="179" t="s">
        <v>3425</v>
      </c>
      <c r="C2977" s="180" t="s">
        <v>3418</v>
      </c>
      <c r="D2977" s="179" t="s">
        <v>216</v>
      </c>
      <c r="E2977" s="181">
        <v>2</v>
      </c>
    </row>
    <row r="2978" spans="2:5" ht="12.75" x14ac:dyDescent="0.2">
      <c r="B2978" s="179" t="s">
        <v>3426</v>
      </c>
      <c r="C2978" s="180" t="s">
        <v>3418</v>
      </c>
      <c r="D2978" s="179" t="s">
        <v>216</v>
      </c>
      <c r="E2978" s="181">
        <v>2</v>
      </c>
    </row>
    <row r="2979" spans="2:5" ht="12.75" x14ac:dyDescent="0.2">
      <c r="B2979" s="179" t="s">
        <v>3427</v>
      </c>
      <c r="C2979" s="180" t="s">
        <v>3418</v>
      </c>
      <c r="D2979" s="179" t="s">
        <v>216</v>
      </c>
      <c r="E2979" s="181">
        <v>2</v>
      </c>
    </row>
    <row r="2980" spans="2:5" ht="12.75" x14ac:dyDescent="0.2">
      <c r="B2980" s="179" t="s">
        <v>3428</v>
      </c>
      <c r="C2980" s="180" t="s">
        <v>3418</v>
      </c>
      <c r="D2980" s="179" t="s">
        <v>216</v>
      </c>
      <c r="E2980" s="181">
        <v>2</v>
      </c>
    </row>
    <row r="2981" spans="2:5" ht="12.75" x14ac:dyDescent="0.2">
      <c r="B2981" s="179" t="s">
        <v>3429</v>
      </c>
      <c r="C2981" s="180" t="s">
        <v>3430</v>
      </c>
      <c r="D2981" s="179" t="s">
        <v>214</v>
      </c>
      <c r="E2981" s="181">
        <v>0.5</v>
      </c>
    </row>
    <row r="2982" spans="2:5" ht="12.75" x14ac:dyDescent="0.2">
      <c r="B2982" s="179" t="s">
        <v>3431</v>
      </c>
      <c r="C2982" s="180" t="s">
        <v>3432</v>
      </c>
      <c r="D2982" s="179" t="s">
        <v>214</v>
      </c>
      <c r="E2982" s="181">
        <v>2</v>
      </c>
    </row>
    <row r="2983" spans="2:5" ht="12.75" x14ac:dyDescent="0.2">
      <c r="B2983" s="179" t="s">
        <v>3433</v>
      </c>
      <c r="C2983" s="180" t="s">
        <v>3432</v>
      </c>
      <c r="D2983" s="179" t="s">
        <v>216</v>
      </c>
      <c r="E2983" s="181">
        <v>2</v>
      </c>
    </row>
    <row r="2984" spans="2:5" ht="12.75" x14ac:dyDescent="0.2">
      <c r="B2984" s="179" t="s">
        <v>3434</v>
      </c>
      <c r="C2984" s="180" t="s">
        <v>3435</v>
      </c>
      <c r="D2984" s="179" t="s">
        <v>214</v>
      </c>
      <c r="E2984" s="181">
        <v>0.1</v>
      </c>
    </row>
    <row r="2985" spans="2:5" ht="12.75" x14ac:dyDescent="0.2">
      <c r="B2985" s="179" t="s">
        <v>3436</v>
      </c>
      <c r="C2985" s="180" t="s">
        <v>3437</v>
      </c>
      <c r="D2985" s="179" t="s">
        <v>214</v>
      </c>
      <c r="E2985" s="181">
        <v>0.5</v>
      </c>
    </row>
    <row r="2986" spans="2:5" ht="12.75" x14ac:dyDescent="0.2">
      <c r="B2986" s="179" t="s">
        <v>3438</v>
      </c>
      <c r="C2986" s="180" t="s">
        <v>3437</v>
      </c>
      <c r="D2986" s="179" t="s">
        <v>216</v>
      </c>
      <c r="E2986" s="181">
        <v>0.5</v>
      </c>
    </row>
    <row r="2987" spans="2:5" ht="12.75" x14ac:dyDescent="0.2">
      <c r="B2987" s="179" t="s">
        <v>3439</v>
      </c>
      <c r="C2987" s="180" t="s">
        <v>3437</v>
      </c>
      <c r="D2987" s="179" t="s">
        <v>216</v>
      </c>
      <c r="E2987" s="181">
        <v>0.5</v>
      </c>
    </row>
    <row r="2988" spans="2:5" ht="12.75" x14ac:dyDescent="0.2">
      <c r="B2988" s="179" t="s">
        <v>3440</v>
      </c>
      <c r="C2988" s="180" t="s">
        <v>3437</v>
      </c>
      <c r="D2988" s="179" t="s">
        <v>216</v>
      </c>
      <c r="E2988" s="181">
        <v>0.5</v>
      </c>
    </row>
    <row r="2989" spans="2:5" ht="12.75" x14ac:dyDescent="0.2">
      <c r="B2989" s="179" t="s">
        <v>3441</v>
      </c>
      <c r="C2989" s="180" t="s">
        <v>3442</v>
      </c>
      <c r="D2989" s="179" t="s">
        <v>214</v>
      </c>
      <c r="E2989" s="181">
        <v>2</v>
      </c>
    </row>
    <row r="2990" spans="2:5" ht="12.75" x14ac:dyDescent="0.2">
      <c r="B2990" s="179" t="s">
        <v>3443</v>
      </c>
      <c r="C2990" s="180" t="s">
        <v>3444</v>
      </c>
      <c r="D2990" s="179" t="s">
        <v>214</v>
      </c>
      <c r="E2990" s="181">
        <v>0.5</v>
      </c>
    </row>
    <row r="2991" spans="2:5" ht="12.75" x14ac:dyDescent="0.2">
      <c r="B2991" s="179" t="s">
        <v>3445</v>
      </c>
      <c r="C2991" s="180" t="s">
        <v>3444</v>
      </c>
      <c r="D2991" s="179" t="s">
        <v>216</v>
      </c>
      <c r="E2991" s="181">
        <v>0.5</v>
      </c>
    </row>
    <row r="2992" spans="2:5" ht="12.75" x14ac:dyDescent="0.2">
      <c r="B2992" s="179" t="s">
        <v>3446</v>
      </c>
      <c r="C2992" s="180" t="s">
        <v>3444</v>
      </c>
      <c r="D2992" s="179" t="s">
        <v>216</v>
      </c>
      <c r="E2992" s="181">
        <v>0.5</v>
      </c>
    </row>
    <row r="2993" spans="2:5" ht="12.75" x14ac:dyDescent="0.2">
      <c r="B2993" s="179" t="s">
        <v>3447</v>
      </c>
      <c r="C2993" s="180" t="s">
        <v>3444</v>
      </c>
      <c r="D2993" s="179" t="s">
        <v>216</v>
      </c>
      <c r="E2993" s="181">
        <v>0.5</v>
      </c>
    </row>
    <row r="2994" spans="2:5" ht="12.75" x14ac:dyDescent="0.2">
      <c r="B2994" s="179" t="s">
        <v>3448</v>
      </c>
      <c r="C2994" s="180" t="s">
        <v>3444</v>
      </c>
      <c r="D2994" s="179" t="s">
        <v>216</v>
      </c>
      <c r="E2994" s="181">
        <v>0.5</v>
      </c>
    </row>
    <row r="2995" spans="2:5" ht="12.75" x14ac:dyDescent="0.2">
      <c r="B2995" s="179" t="s">
        <v>3449</v>
      </c>
      <c r="C2995" s="180" t="s">
        <v>3450</v>
      </c>
      <c r="D2995" s="179" t="s">
        <v>214</v>
      </c>
      <c r="E2995" s="181">
        <v>0.5</v>
      </c>
    </row>
    <row r="2996" spans="2:5" ht="12.75" x14ac:dyDescent="0.2">
      <c r="B2996" s="179" t="s">
        <v>3451</v>
      </c>
      <c r="C2996" s="180" t="s">
        <v>3450</v>
      </c>
      <c r="D2996" s="179" t="s">
        <v>216</v>
      </c>
      <c r="E2996" s="181">
        <v>0.5</v>
      </c>
    </row>
    <row r="2997" spans="2:5" ht="12.75" x14ac:dyDescent="0.2">
      <c r="B2997" s="179" t="s">
        <v>3452</v>
      </c>
      <c r="C2997" s="180" t="s">
        <v>3450</v>
      </c>
      <c r="D2997" s="179" t="s">
        <v>216</v>
      </c>
      <c r="E2997" s="181">
        <v>0.5</v>
      </c>
    </row>
    <row r="2998" spans="2:5" ht="12.75" x14ac:dyDescent="0.2">
      <c r="B2998" s="179" t="s">
        <v>3453</v>
      </c>
      <c r="C2998" s="180" t="s">
        <v>3450</v>
      </c>
      <c r="D2998" s="179" t="s">
        <v>216</v>
      </c>
      <c r="E2998" s="181">
        <v>0.5</v>
      </c>
    </row>
    <row r="2999" spans="2:5" ht="12.75" x14ac:dyDescent="0.2">
      <c r="B2999" s="179" t="s">
        <v>3454</v>
      </c>
      <c r="C2999" s="180" t="s">
        <v>3450</v>
      </c>
      <c r="D2999" s="179" t="s">
        <v>216</v>
      </c>
      <c r="E2999" s="181">
        <v>0.5</v>
      </c>
    </row>
    <row r="3000" spans="2:5" ht="12.75" x14ac:dyDescent="0.2">
      <c r="B3000" s="179" t="s">
        <v>3455</v>
      </c>
      <c r="C3000" s="180" t="s">
        <v>3450</v>
      </c>
      <c r="D3000" s="179" t="s">
        <v>216</v>
      </c>
      <c r="E3000" s="181">
        <v>0.5</v>
      </c>
    </row>
    <row r="3001" spans="2:5" ht="12.75" x14ac:dyDescent="0.2">
      <c r="B3001" s="179" t="s">
        <v>3456</v>
      </c>
      <c r="C3001" s="180" t="s">
        <v>3457</v>
      </c>
      <c r="D3001" s="179" t="s">
        <v>214</v>
      </c>
      <c r="E3001" s="181">
        <v>0.5</v>
      </c>
    </row>
    <row r="3002" spans="2:5" ht="12.75" x14ac:dyDescent="0.2">
      <c r="B3002" s="179" t="s">
        <v>2637</v>
      </c>
      <c r="C3002" s="180" t="s">
        <v>3457</v>
      </c>
      <c r="D3002" s="179" t="s">
        <v>214</v>
      </c>
      <c r="E3002" s="181">
        <v>0.5</v>
      </c>
    </row>
    <row r="3003" spans="2:5" ht="12.75" x14ac:dyDescent="0.2">
      <c r="B3003" s="179" t="s">
        <v>3458</v>
      </c>
      <c r="C3003" s="180" t="s">
        <v>3457</v>
      </c>
      <c r="D3003" s="179" t="s">
        <v>216</v>
      </c>
      <c r="E3003" s="181">
        <v>0.5</v>
      </c>
    </row>
    <row r="3004" spans="2:5" ht="12.75" x14ac:dyDescent="0.2">
      <c r="B3004" s="179" t="s">
        <v>3459</v>
      </c>
      <c r="C3004" s="180" t="s">
        <v>3457</v>
      </c>
      <c r="D3004" s="179" t="s">
        <v>216</v>
      </c>
      <c r="E3004" s="181">
        <v>0.5</v>
      </c>
    </row>
    <row r="3005" spans="2:5" ht="12.75" x14ac:dyDescent="0.2">
      <c r="B3005" s="179" t="s">
        <v>3460</v>
      </c>
      <c r="C3005" s="180" t="s">
        <v>3457</v>
      </c>
      <c r="D3005" s="179" t="s">
        <v>216</v>
      </c>
      <c r="E3005" s="181">
        <v>0.5</v>
      </c>
    </row>
    <row r="3006" spans="2:5" ht="12.75" x14ac:dyDescent="0.2">
      <c r="B3006" s="179" t="s">
        <v>3461</v>
      </c>
      <c r="C3006" s="180" t="s">
        <v>3457</v>
      </c>
      <c r="D3006" s="179" t="s">
        <v>216</v>
      </c>
      <c r="E3006" s="181">
        <v>0.5</v>
      </c>
    </row>
    <row r="3007" spans="2:5" ht="12.75" x14ac:dyDescent="0.2">
      <c r="B3007" s="179" t="s">
        <v>3462</v>
      </c>
      <c r="C3007" s="180" t="s">
        <v>3457</v>
      </c>
      <c r="D3007" s="179" t="s">
        <v>216</v>
      </c>
      <c r="E3007" s="181">
        <v>0.5</v>
      </c>
    </row>
    <row r="3008" spans="2:5" ht="12.75" x14ac:dyDescent="0.2">
      <c r="B3008" s="179" t="s">
        <v>3463</v>
      </c>
      <c r="C3008" s="180" t="s">
        <v>3457</v>
      </c>
      <c r="D3008" s="179" t="s">
        <v>216</v>
      </c>
      <c r="E3008" s="181">
        <v>0.5</v>
      </c>
    </row>
    <row r="3009" spans="2:5" ht="12.75" x14ac:dyDescent="0.2">
      <c r="B3009" s="179" t="s">
        <v>3464</v>
      </c>
      <c r="C3009" s="180" t="s">
        <v>3457</v>
      </c>
      <c r="D3009" s="179" t="s">
        <v>216</v>
      </c>
      <c r="E3009" s="181">
        <v>0.5</v>
      </c>
    </row>
    <row r="3010" spans="2:5" ht="12.75" x14ac:dyDescent="0.2">
      <c r="B3010" s="179" t="s">
        <v>3465</v>
      </c>
      <c r="C3010" s="180" t="s">
        <v>3457</v>
      </c>
      <c r="D3010" s="179" t="s">
        <v>216</v>
      </c>
      <c r="E3010" s="181">
        <v>0.5</v>
      </c>
    </row>
    <row r="3011" spans="2:5" ht="12.75" x14ac:dyDescent="0.2">
      <c r="B3011" s="179" t="s">
        <v>3466</v>
      </c>
      <c r="C3011" s="180" t="s">
        <v>3467</v>
      </c>
      <c r="D3011" s="179" t="s">
        <v>214</v>
      </c>
      <c r="E3011" s="181">
        <v>1</v>
      </c>
    </row>
    <row r="3012" spans="2:5" ht="12.75" x14ac:dyDescent="0.2">
      <c r="B3012" s="179" t="s">
        <v>3468</v>
      </c>
      <c r="C3012" s="180" t="s">
        <v>3467</v>
      </c>
      <c r="D3012" s="179" t="s">
        <v>216</v>
      </c>
      <c r="E3012" s="181">
        <v>1</v>
      </c>
    </row>
    <row r="3013" spans="2:5" ht="12.75" x14ac:dyDescent="0.2">
      <c r="B3013" s="179" t="s">
        <v>3469</v>
      </c>
      <c r="C3013" s="180" t="s">
        <v>3467</v>
      </c>
      <c r="D3013" s="179" t="s">
        <v>216</v>
      </c>
      <c r="E3013" s="181">
        <v>1</v>
      </c>
    </row>
    <row r="3014" spans="2:5" ht="12.75" x14ac:dyDescent="0.2">
      <c r="B3014" s="179" t="s">
        <v>3470</v>
      </c>
      <c r="C3014" s="180" t="s">
        <v>3467</v>
      </c>
      <c r="D3014" s="179" t="s">
        <v>216</v>
      </c>
      <c r="E3014" s="181">
        <v>1</v>
      </c>
    </row>
    <row r="3015" spans="2:5" ht="12.75" x14ac:dyDescent="0.2">
      <c r="B3015" s="179" t="s">
        <v>3471</v>
      </c>
      <c r="C3015" s="180" t="s">
        <v>3467</v>
      </c>
      <c r="D3015" s="179" t="s">
        <v>216</v>
      </c>
      <c r="E3015" s="181">
        <v>1</v>
      </c>
    </row>
    <row r="3016" spans="2:5" ht="12.75" x14ac:dyDescent="0.2">
      <c r="B3016" s="179" t="s">
        <v>3472</v>
      </c>
      <c r="C3016" s="180" t="s">
        <v>3467</v>
      </c>
      <c r="D3016" s="179" t="s">
        <v>216</v>
      </c>
      <c r="E3016" s="181">
        <v>1</v>
      </c>
    </row>
    <row r="3017" spans="2:5" ht="12.75" x14ac:dyDescent="0.2">
      <c r="B3017" s="179" t="s">
        <v>3473</v>
      </c>
      <c r="C3017" s="180" t="s">
        <v>3467</v>
      </c>
      <c r="D3017" s="179" t="s">
        <v>216</v>
      </c>
      <c r="E3017" s="181">
        <v>1</v>
      </c>
    </row>
    <row r="3018" spans="2:5" ht="12.75" x14ac:dyDescent="0.2">
      <c r="B3018" s="179" t="s">
        <v>3474</v>
      </c>
      <c r="C3018" s="180" t="s">
        <v>3467</v>
      </c>
      <c r="D3018" s="179" t="s">
        <v>216</v>
      </c>
      <c r="E3018" s="181">
        <v>1</v>
      </c>
    </row>
    <row r="3019" spans="2:5" ht="12.75" x14ac:dyDescent="0.2">
      <c r="B3019" s="179" t="s">
        <v>3475</v>
      </c>
      <c r="C3019" s="180" t="s">
        <v>3467</v>
      </c>
      <c r="D3019" s="179" t="s">
        <v>216</v>
      </c>
      <c r="E3019" s="181">
        <v>1</v>
      </c>
    </row>
    <row r="3020" spans="2:5" ht="12.75" x14ac:dyDescent="0.2">
      <c r="B3020" s="179" t="s">
        <v>3476</v>
      </c>
      <c r="C3020" s="180" t="s">
        <v>3467</v>
      </c>
      <c r="D3020" s="179" t="s">
        <v>216</v>
      </c>
      <c r="E3020" s="181">
        <v>1</v>
      </c>
    </row>
    <row r="3021" spans="2:5" ht="12.75" x14ac:dyDescent="0.2">
      <c r="B3021" s="179" t="s">
        <v>3477</v>
      </c>
      <c r="C3021" s="180" t="s">
        <v>3467</v>
      </c>
      <c r="D3021" s="179" t="s">
        <v>216</v>
      </c>
      <c r="E3021" s="181">
        <v>1</v>
      </c>
    </row>
    <row r="3022" spans="2:5" ht="12.75" x14ac:dyDescent="0.2">
      <c r="B3022" s="179" t="s">
        <v>3478</v>
      </c>
      <c r="C3022" s="180" t="s">
        <v>3467</v>
      </c>
      <c r="D3022" s="179" t="s">
        <v>216</v>
      </c>
      <c r="E3022" s="181">
        <v>1</v>
      </c>
    </row>
    <row r="3023" spans="2:5" ht="12.75" x14ac:dyDescent="0.2">
      <c r="B3023" s="179" t="s">
        <v>3479</v>
      </c>
      <c r="C3023" s="180" t="s">
        <v>3467</v>
      </c>
      <c r="D3023" s="179" t="s">
        <v>216</v>
      </c>
      <c r="E3023" s="181">
        <v>1</v>
      </c>
    </row>
    <row r="3024" spans="2:5" ht="12.75" x14ac:dyDescent="0.2">
      <c r="B3024" s="179" t="s">
        <v>3480</v>
      </c>
      <c r="C3024" s="180" t="s">
        <v>3481</v>
      </c>
      <c r="D3024" s="179" t="s">
        <v>214</v>
      </c>
      <c r="E3024" s="181">
        <v>0.5</v>
      </c>
    </row>
    <row r="3025" spans="2:5" ht="12.75" x14ac:dyDescent="0.2">
      <c r="B3025" s="179" t="s">
        <v>3482</v>
      </c>
      <c r="C3025" s="180" t="s">
        <v>3481</v>
      </c>
      <c r="D3025" s="179" t="s">
        <v>216</v>
      </c>
      <c r="E3025" s="181">
        <v>0.5</v>
      </c>
    </row>
    <row r="3026" spans="2:5" ht="12.75" x14ac:dyDescent="0.2">
      <c r="B3026" s="179" t="s">
        <v>3483</v>
      </c>
      <c r="C3026" s="180" t="s">
        <v>3484</v>
      </c>
      <c r="D3026" s="179" t="s">
        <v>214</v>
      </c>
      <c r="E3026" s="181">
        <v>0.1</v>
      </c>
    </row>
    <row r="3027" spans="2:5" ht="12.75" x14ac:dyDescent="0.2">
      <c r="B3027" s="179" t="s">
        <v>3485</v>
      </c>
      <c r="C3027" s="180" t="s">
        <v>3484</v>
      </c>
      <c r="D3027" s="179" t="s">
        <v>216</v>
      </c>
      <c r="E3027" s="181">
        <v>0.1</v>
      </c>
    </row>
    <row r="3028" spans="2:5" ht="12.75" x14ac:dyDescent="0.2">
      <c r="B3028" s="179" t="s">
        <v>3486</v>
      </c>
      <c r="C3028" s="180" t="s">
        <v>3484</v>
      </c>
      <c r="D3028" s="179" t="s">
        <v>216</v>
      </c>
      <c r="E3028" s="181">
        <v>0.1</v>
      </c>
    </row>
    <row r="3029" spans="2:5" ht="12.75" x14ac:dyDescent="0.2">
      <c r="B3029" s="179" t="s">
        <v>3487</v>
      </c>
      <c r="C3029" s="180" t="s">
        <v>3488</v>
      </c>
      <c r="D3029" s="179" t="s">
        <v>214</v>
      </c>
      <c r="E3029" s="181">
        <v>0.5</v>
      </c>
    </row>
    <row r="3030" spans="2:5" ht="12.75" x14ac:dyDescent="0.2">
      <c r="B3030" s="179" t="s">
        <v>3489</v>
      </c>
      <c r="C3030" s="180" t="s">
        <v>3488</v>
      </c>
      <c r="D3030" s="179" t="s">
        <v>216</v>
      </c>
      <c r="E3030" s="181">
        <v>0.5</v>
      </c>
    </row>
    <row r="3031" spans="2:5" ht="12.75" x14ac:dyDescent="0.2">
      <c r="B3031" s="179" t="s">
        <v>3490</v>
      </c>
      <c r="C3031" s="180" t="s">
        <v>3488</v>
      </c>
      <c r="D3031" s="179" t="s">
        <v>216</v>
      </c>
      <c r="E3031" s="181">
        <v>0.5</v>
      </c>
    </row>
    <row r="3032" spans="2:5" ht="12.75" x14ac:dyDescent="0.2">
      <c r="B3032" s="179" t="s">
        <v>2428</v>
      </c>
      <c r="C3032" s="180" t="s">
        <v>3491</v>
      </c>
      <c r="D3032" s="179" t="s">
        <v>216</v>
      </c>
      <c r="E3032" s="181">
        <v>2</v>
      </c>
    </row>
    <row r="3033" spans="2:5" ht="12.75" x14ac:dyDescent="0.2">
      <c r="B3033" s="179" t="s">
        <v>2430</v>
      </c>
      <c r="C3033" s="180" t="s">
        <v>3492</v>
      </c>
      <c r="D3033" s="179" t="s">
        <v>216</v>
      </c>
      <c r="E3033" s="181">
        <v>4</v>
      </c>
    </row>
    <row r="3034" spans="2:5" ht="12.75" x14ac:dyDescent="0.2">
      <c r="B3034" s="179" t="s">
        <v>2432</v>
      </c>
      <c r="C3034" s="180" t="s">
        <v>3493</v>
      </c>
      <c r="D3034" s="179" t="s">
        <v>216</v>
      </c>
      <c r="E3034" s="181">
        <v>2</v>
      </c>
    </row>
    <row r="3035" spans="2:5" ht="12.75" x14ac:dyDescent="0.2">
      <c r="B3035" s="179" t="s">
        <v>3494</v>
      </c>
      <c r="C3035" s="180" t="s">
        <v>3495</v>
      </c>
      <c r="D3035" s="179" t="s">
        <v>214</v>
      </c>
      <c r="E3035" s="181">
        <v>0.5</v>
      </c>
    </row>
    <row r="3036" spans="2:5" ht="12.75" x14ac:dyDescent="0.2">
      <c r="B3036" s="179" t="s">
        <v>3496</v>
      </c>
      <c r="C3036" s="180" t="s">
        <v>3497</v>
      </c>
      <c r="D3036" s="179" t="s">
        <v>214</v>
      </c>
      <c r="E3036" s="181">
        <v>0.5</v>
      </c>
    </row>
    <row r="3037" spans="2:5" ht="12.75" x14ac:dyDescent="0.2">
      <c r="B3037" s="179" t="s">
        <v>3498</v>
      </c>
      <c r="C3037" s="180" t="s">
        <v>3497</v>
      </c>
      <c r="D3037" s="179" t="s">
        <v>216</v>
      </c>
      <c r="E3037" s="181">
        <v>0.5</v>
      </c>
    </row>
    <row r="3038" spans="2:5" ht="12.75" x14ac:dyDescent="0.2">
      <c r="B3038" s="179" t="s">
        <v>3499</v>
      </c>
      <c r="C3038" s="180" t="s">
        <v>3497</v>
      </c>
      <c r="D3038" s="179" t="s">
        <v>216</v>
      </c>
      <c r="E3038" s="181">
        <v>0.5</v>
      </c>
    </row>
    <row r="3039" spans="2:5" ht="12.75" x14ac:dyDescent="0.2">
      <c r="B3039" s="179" t="s">
        <v>3500</v>
      </c>
      <c r="C3039" s="180" t="s">
        <v>3497</v>
      </c>
      <c r="D3039" s="179" t="s">
        <v>216</v>
      </c>
      <c r="E3039" s="181">
        <v>0.5</v>
      </c>
    </row>
    <row r="3040" spans="2:5" ht="12.75" x14ac:dyDescent="0.2">
      <c r="B3040" s="179" t="s">
        <v>3501</v>
      </c>
      <c r="C3040" s="180" t="s">
        <v>3497</v>
      </c>
      <c r="D3040" s="179" t="s">
        <v>216</v>
      </c>
      <c r="E3040" s="181">
        <v>0.5</v>
      </c>
    </row>
    <row r="3041" spans="2:5" ht="12.75" x14ac:dyDescent="0.2">
      <c r="B3041" s="179" t="s">
        <v>3502</v>
      </c>
      <c r="C3041" s="180" t="s">
        <v>3503</v>
      </c>
      <c r="D3041" s="179" t="s">
        <v>214</v>
      </c>
      <c r="E3041" s="181">
        <v>0.5</v>
      </c>
    </row>
    <row r="3042" spans="2:5" ht="12.75" x14ac:dyDescent="0.2">
      <c r="B3042" s="179" t="s">
        <v>3504</v>
      </c>
      <c r="C3042" s="180" t="s">
        <v>3503</v>
      </c>
      <c r="D3042" s="179" t="s">
        <v>216</v>
      </c>
      <c r="E3042" s="181">
        <v>0.5</v>
      </c>
    </row>
    <row r="3043" spans="2:5" ht="12.75" x14ac:dyDescent="0.2">
      <c r="B3043" s="179" t="s">
        <v>3505</v>
      </c>
      <c r="C3043" s="180" t="s">
        <v>3503</v>
      </c>
      <c r="D3043" s="179" t="s">
        <v>216</v>
      </c>
      <c r="E3043" s="181">
        <v>0.5</v>
      </c>
    </row>
    <row r="3044" spans="2:5" ht="12.75" x14ac:dyDescent="0.2">
      <c r="B3044" s="179" t="s">
        <v>3506</v>
      </c>
      <c r="C3044" s="180" t="s">
        <v>3503</v>
      </c>
      <c r="D3044" s="179" t="s">
        <v>216</v>
      </c>
      <c r="E3044" s="181">
        <v>0.5</v>
      </c>
    </row>
    <row r="3045" spans="2:5" ht="12.75" x14ac:dyDescent="0.2">
      <c r="B3045" s="179" t="s">
        <v>3507</v>
      </c>
      <c r="C3045" s="180" t="s">
        <v>3503</v>
      </c>
      <c r="D3045" s="179" t="s">
        <v>216</v>
      </c>
      <c r="E3045" s="181">
        <v>0.5</v>
      </c>
    </row>
    <row r="3046" spans="2:5" ht="12.75" x14ac:dyDescent="0.2">
      <c r="B3046" s="179" t="s">
        <v>3508</v>
      </c>
      <c r="C3046" s="180" t="s">
        <v>3503</v>
      </c>
      <c r="D3046" s="179" t="s">
        <v>216</v>
      </c>
      <c r="E3046" s="181">
        <v>0.5</v>
      </c>
    </row>
    <row r="3047" spans="2:5" ht="12.75" x14ac:dyDescent="0.2">
      <c r="B3047" s="179" t="s">
        <v>3509</v>
      </c>
      <c r="C3047" s="180" t="s">
        <v>3503</v>
      </c>
      <c r="D3047" s="179" t="s">
        <v>216</v>
      </c>
      <c r="E3047" s="181">
        <v>0.5</v>
      </c>
    </row>
    <row r="3048" spans="2:5" ht="12.75" x14ac:dyDescent="0.2">
      <c r="B3048" s="179" t="s">
        <v>3510</v>
      </c>
      <c r="C3048" s="180" t="s">
        <v>3503</v>
      </c>
      <c r="D3048" s="179" t="s">
        <v>216</v>
      </c>
      <c r="E3048" s="181">
        <v>0.5</v>
      </c>
    </row>
    <row r="3049" spans="2:5" ht="12.75" x14ac:dyDescent="0.2">
      <c r="B3049" s="179" t="s">
        <v>3511</v>
      </c>
      <c r="C3049" s="180" t="s">
        <v>3503</v>
      </c>
      <c r="D3049" s="179" t="s">
        <v>216</v>
      </c>
      <c r="E3049" s="181">
        <v>0.5</v>
      </c>
    </row>
    <row r="3050" spans="2:5" ht="12.75" x14ac:dyDescent="0.2">
      <c r="B3050" s="179" t="s">
        <v>3512</v>
      </c>
      <c r="C3050" s="180" t="s">
        <v>3513</v>
      </c>
      <c r="D3050" s="179" t="s">
        <v>214</v>
      </c>
      <c r="E3050" s="181">
        <v>0.5</v>
      </c>
    </row>
    <row r="3051" spans="2:5" ht="12.75" x14ac:dyDescent="0.2">
      <c r="B3051" s="179" t="s">
        <v>3514</v>
      </c>
      <c r="C3051" s="180" t="s">
        <v>3513</v>
      </c>
      <c r="D3051" s="179" t="s">
        <v>216</v>
      </c>
      <c r="E3051" s="181">
        <v>0.5</v>
      </c>
    </row>
    <row r="3052" spans="2:5" ht="12.75" x14ac:dyDescent="0.2">
      <c r="B3052" s="179" t="s">
        <v>3515</v>
      </c>
      <c r="C3052" s="180" t="s">
        <v>3513</v>
      </c>
      <c r="D3052" s="179" t="s">
        <v>216</v>
      </c>
      <c r="E3052" s="181">
        <v>0.5</v>
      </c>
    </row>
    <row r="3053" spans="2:5" ht="12.75" x14ac:dyDescent="0.2">
      <c r="B3053" s="179" t="s">
        <v>3516</v>
      </c>
      <c r="C3053" s="180" t="s">
        <v>3517</v>
      </c>
      <c r="D3053" s="179" t="s">
        <v>214</v>
      </c>
      <c r="E3053" s="181">
        <v>0.5</v>
      </c>
    </row>
    <row r="3054" spans="2:5" ht="12.75" x14ac:dyDescent="0.2">
      <c r="B3054" s="179" t="s">
        <v>3518</v>
      </c>
      <c r="C3054" s="180" t="s">
        <v>3519</v>
      </c>
      <c r="D3054" s="179" t="s">
        <v>214</v>
      </c>
      <c r="E3054" s="181">
        <v>0.5</v>
      </c>
    </row>
    <row r="3055" spans="2:5" ht="12.75" x14ac:dyDescent="0.2">
      <c r="B3055" s="179" t="s">
        <v>3520</v>
      </c>
      <c r="C3055" s="180" t="s">
        <v>3521</v>
      </c>
      <c r="D3055" s="179" t="s">
        <v>214</v>
      </c>
      <c r="E3055" s="181">
        <v>0.5</v>
      </c>
    </row>
    <row r="3056" spans="2:5" ht="12.75" x14ac:dyDescent="0.2">
      <c r="B3056" s="179" t="s">
        <v>3522</v>
      </c>
      <c r="C3056" s="180" t="s">
        <v>3521</v>
      </c>
      <c r="D3056" s="179" t="s">
        <v>216</v>
      </c>
      <c r="E3056" s="181">
        <v>0.5</v>
      </c>
    </row>
    <row r="3057" spans="2:5" ht="12.75" x14ac:dyDescent="0.2">
      <c r="B3057" s="179" t="s">
        <v>3523</v>
      </c>
      <c r="C3057" s="180" t="s">
        <v>3521</v>
      </c>
      <c r="D3057" s="179" t="s">
        <v>216</v>
      </c>
      <c r="E3057" s="181">
        <v>0.5</v>
      </c>
    </row>
    <row r="3058" spans="2:5" ht="12.75" x14ac:dyDescent="0.2">
      <c r="B3058" s="179" t="s">
        <v>3524</v>
      </c>
      <c r="C3058" s="180" t="s">
        <v>3521</v>
      </c>
      <c r="D3058" s="179" t="s">
        <v>216</v>
      </c>
      <c r="E3058" s="181">
        <v>0.5</v>
      </c>
    </row>
    <row r="3059" spans="2:5" ht="12.75" x14ac:dyDescent="0.2">
      <c r="B3059" s="179" t="s">
        <v>3525</v>
      </c>
      <c r="C3059" s="180" t="s">
        <v>3521</v>
      </c>
      <c r="D3059" s="179" t="s">
        <v>216</v>
      </c>
      <c r="E3059" s="181">
        <v>0.5</v>
      </c>
    </row>
    <row r="3060" spans="2:5" ht="12.75" x14ac:dyDescent="0.2">
      <c r="B3060" s="179" t="s">
        <v>3526</v>
      </c>
      <c r="C3060" s="180" t="s">
        <v>3521</v>
      </c>
      <c r="D3060" s="179" t="s">
        <v>216</v>
      </c>
      <c r="E3060" s="181">
        <v>0.5</v>
      </c>
    </row>
    <row r="3061" spans="2:5" ht="12.75" x14ac:dyDescent="0.2">
      <c r="B3061" s="179" t="s">
        <v>3527</v>
      </c>
      <c r="C3061" s="180" t="s">
        <v>3521</v>
      </c>
      <c r="D3061" s="179" t="s">
        <v>216</v>
      </c>
      <c r="E3061" s="181">
        <v>0.5</v>
      </c>
    </row>
    <row r="3062" spans="2:5" ht="12.75" x14ac:dyDescent="0.2">
      <c r="B3062" s="179" t="s">
        <v>3528</v>
      </c>
      <c r="C3062" s="180" t="s">
        <v>3521</v>
      </c>
      <c r="D3062" s="179" t="s">
        <v>216</v>
      </c>
      <c r="E3062" s="181">
        <v>0.5</v>
      </c>
    </row>
    <row r="3063" spans="2:5" ht="12.75" x14ac:dyDescent="0.2">
      <c r="B3063" s="179" t="s">
        <v>3529</v>
      </c>
      <c r="C3063" s="180" t="s">
        <v>3521</v>
      </c>
      <c r="D3063" s="179" t="s">
        <v>216</v>
      </c>
      <c r="E3063" s="181">
        <v>0.5</v>
      </c>
    </row>
    <row r="3064" spans="2:5" ht="12.75" x14ac:dyDescent="0.2">
      <c r="B3064" s="179" t="s">
        <v>3530</v>
      </c>
      <c r="C3064" s="180" t="s">
        <v>3521</v>
      </c>
      <c r="D3064" s="179" t="s">
        <v>216</v>
      </c>
      <c r="E3064" s="181">
        <v>0.5</v>
      </c>
    </row>
    <row r="3065" spans="2:5" ht="12.75" x14ac:dyDescent="0.2">
      <c r="B3065" s="179" t="s">
        <v>3531</v>
      </c>
      <c r="C3065" s="180" t="s">
        <v>3521</v>
      </c>
      <c r="D3065" s="179" t="s">
        <v>216</v>
      </c>
      <c r="E3065" s="181">
        <v>0.5</v>
      </c>
    </row>
    <row r="3066" spans="2:5" ht="12.75" x14ac:dyDescent="0.2">
      <c r="B3066" s="179" t="s">
        <v>3532</v>
      </c>
      <c r="C3066" s="180" t="s">
        <v>3521</v>
      </c>
      <c r="D3066" s="179" t="s">
        <v>216</v>
      </c>
      <c r="E3066" s="181">
        <v>0.5</v>
      </c>
    </row>
    <row r="3067" spans="2:5" ht="12.75" x14ac:dyDescent="0.2">
      <c r="B3067" s="179" t="s">
        <v>3533</v>
      </c>
      <c r="C3067" s="180" t="s">
        <v>3521</v>
      </c>
      <c r="D3067" s="179" t="s">
        <v>216</v>
      </c>
      <c r="E3067" s="181">
        <v>0.5</v>
      </c>
    </row>
    <row r="3068" spans="2:5" ht="12.75" x14ac:dyDescent="0.2">
      <c r="B3068" s="179" t="s">
        <v>3534</v>
      </c>
      <c r="C3068" s="180" t="s">
        <v>3521</v>
      </c>
      <c r="D3068" s="179" t="s">
        <v>216</v>
      </c>
      <c r="E3068" s="181">
        <v>0.5</v>
      </c>
    </row>
    <row r="3069" spans="2:5" ht="12.75" x14ac:dyDescent="0.2">
      <c r="B3069" s="179" t="s">
        <v>3535</v>
      </c>
      <c r="C3069" s="180" t="s">
        <v>3521</v>
      </c>
      <c r="D3069" s="179" t="s">
        <v>216</v>
      </c>
      <c r="E3069" s="181">
        <v>0.5</v>
      </c>
    </row>
    <row r="3070" spans="2:5" ht="12.75" x14ac:dyDescent="0.2">
      <c r="B3070" s="179" t="s">
        <v>3536</v>
      </c>
      <c r="C3070" s="180" t="s">
        <v>3521</v>
      </c>
      <c r="D3070" s="179" t="s">
        <v>216</v>
      </c>
      <c r="E3070" s="181">
        <v>0.5</v>
      </c>
    </row>
    <row r="3071" spans="2:5" ht="12.75" x14ac:dyDescent="0.2">
      <c r="B3071" s="179" t="s">
        <v>3537</v>
      </c>
      <c r="C3071" s="180" t="s">
        <v>3521</v>
      </c>
      <c r="D3071" s="179" t="s">
        <v>216</v>
      </c>
      <c r="E3071" s="181">
        <v>0.5</v>
      </c>
    </row>
    <row r="3072" spans="2:5" ht="12.75" x14ac:dyDescent="0.2">
      <c r="B3072" s="179" t="s">
        <v>3538</v>
      </c>
      <c r="C3072" s="180" t="s">
        <v>3521</v>
      </c>
      <c r="D3072" s="179" t="s">
        <v>216</v>
      </c>
      <c r="E3072" s="181">
        <v>0.5</v>
      </c>
    </row>
    <row r="3073" spans="2:5" ht="12.75" x14ac:dyDescent="0.2">
      <c r="B3073" s="179" t="s">
        <v>3539</v>
      </c>
      <c r="C3073" s="180" t="s">
        <v>3521</v>
      </c>
      <c r="D3073" s="179" t="s">
        <v>216</v>
      </c>
      <c r="E3073" s="181">
        <v>0.5</v>
      </c>
    </row>
    <row r="3074" spans="2:5" ht="12.75" x14ac:dyDescent="0.2">
      <c r="B3074" s="179" t="s">
        <v>3540</v>
      </c>
      <c r="C3074" s="180" t="s">
        <v>3521</v>
      </c>
      <c r="D3074" s="179" t="s">
        <v>216</v>
      </c>
      <c r="E3074" s="181">
        <v>0.5</v>
      </c>
    </row>
    <row r="3075" spans="2:5" ht="12.75" x14ac:dyDescent="0.2">
      <c r="B3075" s="179" t="s">
        <v>3541</v>
      </c>
      <c r="C3075" s="180" t="s">
        <v>3521</v>
      </c>
      <c r="D3075" s="179" t="s">
        <v>216</v>
      </c>
      <c r="E3075" s="181">
        <v>0.5</v>
      </c>
    </row>
    <row r="3076" spans="2:5" ht="12.75" x14ac:dyDescent="0.2">
      <c r="B3076" s="179" t="s">
        <v>3542</v>
      </c>
      <c r="C3076" s="180" t="s">
        <v>3521</v>
      </c>
      <c r="D3076" s="179" t="s">
        <v>216</v>
      </c>
      <c r="E3076" s="181">
        <v>0.5</v>
      </c>
    </row>
    <row r="3077" spans="2:5" ht="12.75" x14ac:dyDescent="0.2">
      <c r="B3077" s="179" t="s">
        <v>3543</v>
      </c>
      <c r="C3077" s="180" t="s">
        <v>3521</v>
      </c>
      <c r="D3077" s="179" t="s">
        <v>216</v>
      </c>
      <c r="E3077" s="181">
        <v>0.5</v>
      </c>
    </row>
    <row r="3078" spans="2:5" ht="12.75" x14ac:dyDescent="0.2">
      <c r="B3078" s="179" t="s">
        <v>3544</v>
      </c>
      <c r="C3078" s="180" t="s">
        <v>3521</v>
      </c>
      <c r="D3078" s="179" t="s">
        <v>216</v>
      </c>
      <c r="E3078" s="181">
        <v>0.5</v>
      </c>
    </row>
    <row r="3079" spans="2:5" ht="12.75" x14ac:dyDescent="0.2">
      <c r="B3079" s="179" t="s">
        <v>3545</v>
      </c>
      <c r="C3079" s="180" t="s">
        <v>3521</v>
      </c>
      <c r="D3079" s="179" t="s">
        <v>216</v>
      </c>
      <c r="E3079" s="181">
        <v>0.5</v>
      </c>
    </row>
    <row r="3080" spans="2:5" ht="12.75" x14ac:dyDescent="0.2">
      <c r="B3080" s="179" t="s">
        <v>3546</v>
      </c>
      <c r="C3080" s="180" t="s">
        <v>3521</v>
      </c>
      <c r="D3080" s="179" t="s">
        <v>216</v>
      </c>
      <c r="E3080" s="181">
        <v>0.5</v>
      </c>
    </row>
    <row r="3081" spans="2:5" ht="12.75" x14ac:dyDescent="0.2">
      <c r="B3081" s="179" t="s">
        <v>3547</v>
      </c>
      <c r="C3081" s="180" t="s">
        <v>3521</v>
      </c>
      <c r="D3081" s="179" t="s">
        <v>216</v>
      </c>
      <c r="E3081" s="181">
        <v>0.5</v>
      </c>
    </row>
    <row r="3082" spans="2:5" ht="12.75" x14ac:dyDescent="0.2">
      <c r="B3082" s="179" t="s">
        <v>3548</v>
      </c>
      <c r="C3082" s="180" t="s">
        <v>3521</v>
      </c>
      <c r="D3082" s="179" t="s">
        <v>216</v>
      </c>
      <c r="E3082" s="181">
        <v>0.5</v>
      </c>
    </row>
    <row r="3083" spans="2:5" ht="12.75" x14ac:dyDescent="0.2">
      <c r="B3083" s="179" t="s">
        <v>3549</v>
      </c>
      <c r="C3083" s="180" t="s">
        <v>3521</v>
      </c>
      <c r="D3083" s="179" t="s">
        <v>216</v>
      </c>
      <c r="E3083" s="181">
        <v>0.5</v>
      </c>
    </row>
    <row r="3084" spans="2:5" ht="12.75" x14ac:dyDescent="0.2">
      <c r="B3084" s="179" t="s">
        <v>3550</v>
      </c>
      <c r="C3084" s="180" t="s">
        <v>3551</v>
      </c>
      <c r="D3084" s="179" t="s">
        <v>214</v>
      </c>
      <c r="E3084" s="181">
        <v>0.1</v>
      </c>
    </row>
    <row r="3085" spans="2:5" ht="12.75" x14ac:dyDescent="0.2">
      <c r="B3085" s="179" t="s">
        <v>3552</v>
      </c>
      <c r="C3085" s="180" t="s">
        <v>3551</v>
      </c>
      <c r="D3085" s="179" t="s">
        <v>216</v>
      </c>
      <c r="E3085" s="181">
        <v>0.5</v>
      </c>
    </row>
    <row r="3086" spans="2:5" ht="12.75" x14ac:dyDescent="0.2">
      <c r="B3086" s="179" t="s">
        <v>3553</v>
      </c>
      <c r="C3086" s="180" t="s">
        <v>3551</v>
      </c>
      <c r="D3086" s="179" t="s">
        <v>216</v>
      </c>
      <c r="E3086" s="181">
        <v>0.5</v>
      </c>
    </row>
    <row r="3087" spans="2:5" ht="12.75" x14ac:dyDescent="0.2">
      <c r="B3087" s="179" t="s">
        <v>3554</v>
      </c>
      <c r="C3087" s="180" t="s">
        <v>3551</v>
      </c>
      <c r="D3087" s="179" t="s">
        <v>216</v>
      </c>
      <c r="E3087" s="181">
        <v>0.5</v>
      </c>
    </row>
    <row r="3088" spans="2:5" ht="12.75" x14ac:dyDescent="0.2">
      <c r="B3088" s="179" t="s">
        <v>3555</v>
      </c>
      <c r="C3088" s="180" t="s">
        <v>3551</v>
      </c>
      <c r="D3088" s="179" t="s">
        <v>216</v>
      </c>
      <c r="E3088" s="181">
        <v>0.5</v>
      </c>
    </row>
    <row r="3089" spans="2:5" ht="12.75" x14ac:dyDescent="0.2">
      <c r="B3089" s="179" t="s">
        <v>3556</v>
      </c>
      <c r="C3089" s="180" t="s">
        <v>3551</v>
      </c>
      <c r="D3089" s="179" t="s">
        <v>216</v>
      </c>
      <c r="E3089" s="181">
        <v>0.5</v>
      </c>
    </row>
    <row r="3090" spans="2:5" ht="12.75" x14ac:dyDescent="0.2">
      <c r="B3090" s="179" t="s">
        <v>3557</v>
      </c>
      <c r="C3090" s="180" t="s">
        <v>3558</v>
      </c>
      <c r="D3090" s="179" t="s">
        <v>214</v>
      </c>
      <c r="E3090" s="181">
        <v>1</v>
      </c>
    </row>
    <row r="3091" spans="2:5" ht="12.75" x14ac:dyDescent="0.2">
      <c r="B3091" s="179" t="s">
        <v>3559</v>
      </c>
      <c r="C3091" s="180" t="s">
        <v>3560</v>
      </c>
      <c r="D3091" s="179" t="s">
        <v>214</v>
      </c>
      <c r="E3091" s="181">
        <v>0.5</v>
      </c>
    </row>
    <row r="3092" spans="2:5" ht="12.75" x14ac:dyDescent="0.2">
      <c r="B3092" s="179" t="s">
        <v>3561</v>
      </c>
      <c r="C3092" s="180" t="s">
        <v>3560</v>
      </c>
      <c r="D3092" s="179" t="s">
        <v>216</v>
      </c>
      <c r="E3092" s="181">
        <v>0.5</v>
      </c>
    </row>
    <row r="3093" spans="2:5" ht="12.75" x14ac:dyDescent="0.2">
      <c r="B3093" s="179" t="s">
        <v>3562</v>
      </c>
      <c r="C3093" s="180" t="s">
        <v>3560</v>
      </c>
      <c r="D3093" s="179" t="s">
        <v>216</v>
      </c>
      <c r="E3093" s="181">
        <v>0.5</v>
      </c>
    </row>
    <row r="3094" spans="2:5" ht="12.75" x14ac:dyDescent="0.2">
      <c r="B3094" s="179" t="s">
        <v>3563</v>
      </c>
      <c r="C3094" s="180" t="s">
        <v>3560</v>
      </c>
      <c r="D3094" s="179" t="s">
        <v>216</v>
      </c>
      <c r="E3094" s="181">
        <v>0.5</v>
      </c>
    </row>
    <row r="3095" spans="2:5" ht="12.75" x14ac:dyDescent="0.2">
      <c r="B3095" s="179" t="s">
        <v>3564</v>
      </c>
      <c r="C3095" s="180" t="s">
        <v>3560</v>
      </c>
      <c r="D3095" s="179" t="s">
        <v>216</v>
      </c>
      <c r="E3095" s="181">
        <v>0.5</v>
      </c>
    </row>
    <row r="3096" spans="2:5" ht="12.75" x14ac:dyDescent="0.2">
      <c r="B3096" s="179" t="s">
        <v>3565</v>
      </c>
      <c r="C3096" s="180" t="s">
        <v>3560</v>
      </c>
      <c r="D3096" s="179" t="s">
        <v>216</v>
      </c>
      <c r="E3096" s="181">
        <v>0.5</v>
      </c>
    </row>
    <row r="3097" spans="2:5" ht="12.75" x14ac:dyDescent="0.2">
      <c r="B3097" s="179" t="s">
        <v>3566</v>
      </c>
      <c r="C3097" s="180" t="s">
        <v>3560</v>
      </c>
      <c r="D3097" s="179" t="s">
        <v>216</v>
      </c>
      <c r="E3097" s="181">
        <v>0.5</v>
      </c>
    </row>
    <row r="3098" spans="2:5" ht="12.75" x14ac:dyDescent="0.2">
      <c r="B3098" s="179" t="s">
        <v>3567</v>
      </c>
      <c r="C3098" s="180" t="s">
        <v>3560</v>
      </c>
      <c r="D3098" s="179" t="s">
        <v>216</v>
      </c>
      <c r="E3098" s="181">
        <v>0.5</v>
      </c>
    </row>
    <row r="3099" spans="2:5" ht="12.75" x14ac:dyDescent="0.2">
      <c r="B3099" s="179" t="s">
        <v>3568</v>
      </c>
      <c r="C3099" s="180" t="s">
        <v>3560</v>
      </c>
      <c r="D3099" s="179" t="s">
        <v>216</v>
      </c>
      <c r="E3099" s="181">
        <v>0.5</v>
      </c>
    </row>
    <row r="3100" spans="2:5" ht="12.75" x14ac:dyDescent="0.2">
      <c r="B3100" s="179" t="s">
        <v>3569</v>
      </c>
      <c r="C3100" s="180" t="s">
        <v>3560</v>
      </c>
      <c r="D3100" s="179" t="s">
        <v>216</v>
      </c>
      <c r="E3100" s="181">
        <v>0.5</v>
      </c>
    </row>
    <row r="3101" spans="2:5" ht="12.75" x14ac:dyDescent="0.2">
      <c r="B3101" s="179" t="s">
        <v>3570</v>
      </c>
      <c r="C3101" s="180" t="s">
        <v>3560</v>
      </c>
      <c r="D3101" s="179" t="s">
        <v>216</v>
      </c>
      <c r="E3101" s="181">
        <v>0.5</v>
      </c>
    </row>
    <row r="3102" spans="2:5" ht="12.75" x14ac:dyDescent="0.2">
      <c r="B3102" s="179" t="s">
        <v>3571</v>
      </c>
      <c r="C3102" s="180" t="s">
        <v>3560</v>
      </c>
      <c r="D3102" s="179" t="s">
        <v>216</v>
      </c>
      <c r="E3102" s="181">
        <v>0.5</v>
      </c>
    </row>
    <row r="3103" spans="2:5" ht="12.75" x14ac:dyDescent="0.2">
      <c r="B3103" s="179" t="s">
        <v>3572</v>
      </c>
      <c r="C3103" s="180" t="s">
        <v>3560</v>
      </c>
      <c r="D3103" s="179" t="s">
        <v>216</v>
      </c>
      <c r="E3103" s="181">
        <v>0.5</v>
      </c>
    </row>
    <row r="3104" spans="2:5" ht="12.75" x14ac:dyDescent="0.2">
      <c r="B3104" s="179" t="s">
        <v>3573</v>
      </c>
      <c r="C3104" s="180" t="s">
        <v>3560</v>
      </c>
      <c r="D3104" s="179" t="s">
        <v>216</v>
      </c>
      <c r="E3104" s="181">
        <v>0.5</v>
      </c>
    </row>
    <row r="3105" spans="2:5" ht="12.75" x14ac:dyDescent="0.2">
      <c r="B3105" s="179" t="s">
        <v>3574</v>
      </c>
      <c r="C3105" s="180" t="s">
        <v>3575</v>
      </c>
      <c r="D3105" s="179" t="s">
        <v>214</v>
      </c>
      <c r="E3105" s="181">
        <v>0.5</v>
      </c>
    </row>
    <row r="3106" spans="2:5" ht="12.75" x14ac:dyDescent="0.2">
      <c r="B3106" s="179" t="s">
        <v>3576</v>
      </c>
      <c r="C3106" s="180" t="s">
        <v>3575</v>
      </c>
      <c r="D3106" s="179" t="s">
        <v>216</v>
      </c>
      <c r="E3106" s="181">
        <v>0.5</v>
      </c>
    </row>
    <row r="3107" spans="2:5" ht="12.75" x14ac:dyDescent="0.2">
      <c r="B3107" s="179" t="s">
        <v>3577</v>
      </c>
      <c r="C3107" s="180" t="s">
        <v>3575</v>
      </c>
      <c r="D3107" s="179" t="s">
        <v>216</v>
      </c>
      <c r="E3107" s="181">
        <v>0.5</v>
      </c>
    </row>
    <row r="3108" spans="2:5" ht="12.75" x14ac:dyDescent="0.2">
      <c r="B3108" s="179" t="s">
        <v>3578</v>
      </c>
      <c r="C3108" s="180" t="s">
        <v>3575</v>
      </c>
      <c r="D3108" s="179" t="s">
        <v>216</v>
      </c>
      <c r="E3108" s="181">
        <v>0.5</v>
      </c>
    </row>
    <row r="3109" spans="2:5" ht="12.75" x14ac:dyDescent="0.2">
      <c r="B3109" s="179" t="s">
        <v>3579</v>
      </c>
      <c r="C3109" s="180" t="s">
        <v>3575</v>
      </c>
      <c r="D3109" s="179" t="s">
        <v>216</v>
      </c>
      <c r="E3109" s="181">
        <v>0.5</v>
      </c>
    </row>
    <row r="3110" spans="2:5" ht="12.75" x14ac:dyDescent="0.2">
      <c r="B3110" s="179" t="s">
        <v>3580</v>
      </c>
      <c r="C3110" s="180" t="s">
        <v>3581</v>
      </c>
      <c r="D3110" s="179" t="s">
        <v>214</v>
      </c>
      <c r="E3110" s="181">
        <v>0.1</v>
      </c>
    </row>
    <row r="3111" spans="2:5" ht="12.75" x14ac:dyDescent="0.2">
      <c r="B3111" s="179" t="s">
        <v>3582</v>
      </c>
      <c r="C3111" s="180" t="s">
        <v>3583</v>
      </c>
      <c r="D3111" s="179" t="s">
        <v>216</v>
      </c>
      <c r="E3111" s="181">
        <v>0.1</v>
      </c>
    </row>
    <row r="3112" spans="2:5" ht="12.75" x14ac:dyDescent="0.2">
      <c r="B3112" s="179" t="s">
        <v>3584</v>
      </c>
      <c r="C3112" s="180" t="s">
        <v>3583</v>
      </c>
      <c r="D3112" s="179" t="s">
        <v>216</v>
      </c>
      <c r="E3112" s="181">
        <v>0.1</v>
      </c>
    </row>
    <row r="3113" spans="2:5" ht="12.75" x14ac:dyDescent="0.2">
      <c r="B3113" s="179" t="s">
        <v>3585</v>
      </c>
      <c r="C3113" s="180" t="s">
        <v>3583</v>
      </c>
      <c r="D3113" s="179" t="s">
        <v>216</v>
      </c>
      <c r="E3113" s="181">
        <v>0.1</v>
      </c>
    </row>
    <row r="3114" spans="2:5" ht="12.75" x14ac:dyDescent="0.2">
      <c r="B3114" s="179" t="s">
        <v>3586</v>
      </c>
      <c r="C3114" s="180" t="s">
        <v>3587</v>
      </c>
      <c r="D3114" s="179" t="s">
        <v>214</v>
      </c>
      <c r="E3114" s="181">
        <v>0.1</v>
      </c>
    </row>
    <row r="3115" spans="2:5" ht="12.75" x14ac:dyDescent="0.2">
      <c r="B3115" s="179" t="s">
        <v>3588</v>
      </c>
      <c r="C3115" s="180" t="s">
        <v>3589</v>
      </c>
      <c r="D3115" s="179" t="s">
        <v>216</v>
      </c>
      <c r="E3115" s="181">
        <v>0.1</v>
      </c>
    </row>
    <row r="3116" spans="2:5" ht="12.75" x14ac:dyDescent="0.2">
      <c r="B3116" s="179" t="s">
        <v>3590</v>
      </c>
      <c r="C3116" s="180" t="s">
        <v>3591</v>
      </c>
      <c r="D3116" s="179" t="s">
        <v>214</v>
      </c>
      <c r="E3116" s="181">
        <v>0.5</v>
      </c>
    </row>
    <row r="3117" spans="2:5" ht="12.75" x14ac:dyDescent="0.2">
      <c r="B3117" s="179" t="s">
        <v>3592</v>
      </c>
      <c r="C3117" s="180" t="s">
        <v>3591</v>
      </c>
      <c r="D3117" s="179" t="s">
        <v>216</v>
      </c>
      <c r="E3117" s="181">
        <v>0.5</v>
      </c>
    </row>
    <row r="3118" spans="2:5" ht="12.75" x14ac:dyDescent="0.2">
      <c r="B3118" s="179" t="s">
        <v>3593</v>
      </c>
      <c r="C3118" s="180" t="s">
        <v>3591</v>
      </c>
      <c r="D3118" s="179" t="s">
        <v>216</v>
      </c>
      <c r="E3118" s="181">
        <v>0.5</v>
      </c>
    </row>
    <row r="3119" spans="2:5" ht="12.75" x14ac:dyDescent="0.2">
      <c r="B3119" s="179" t="s">
        <v>3594</v>
      </c>
      <c r="C3119" s="180" t="s">
        <v>3591</v>
      </c>
      <c r="D3119" s="179" t="s">
        <v>216</v>
      </c>
      <c r="E3119" s="181">
        <v>0.5</v>
      </c>
    </row>
    <row r="3120" spans="2:5" ht="12.75" x14ac:dyDescent="0.2">
      <c r="B3120" s="179" t="s">
        <v>3595</v>
      </c>
      <c r="C3120" s="180" t="s">
        <v>3591</v>
      </c>
      <c r="D3120" s="179" t="s">
        <v>216</v>
      </c>
      <c r="E3120" s="181">
        <v>0.5</v>
      </c>
    </row>
    <row r="3121" spans="2:5" ht="12.75" x14ac:dyDescent="0.2">
      <c r="B3121" s="179" t="s">
        <v>3596</v>
      </c>
      <c r="C3121" s="180" t="s">
        <v>3591</v>
      </c>
      <c r="D3121" s="179" t="s">
        <v>216</v>
      </c>
      <c r="E3121" s="181">
        <v>0.5</v>
      </c>
    </row>
    <row r="3122" spans="2:5" ht="12.75" x14ac:dyDescent="0.2">
      <c r="B3122" s="179" t="s">
        <v>3597</v>
      </c>
      <c r="C3122" s="180" t="s">
        <v>3591</v>
      </c>
      <c r="D3122" s="179" t="s">
        <v>216</v>
      </c>
      <c r="E3122" s="181">
        <v>0.5</v>
      </c>
    </row>
    <row r="3123" spans="2:5" ht="12.75" x14ac:dyDescent="0.2">
      <c r="B3123" s="179" t="s">
        <v>3598</v>
      </c>
      <c r="C3123" s="180" t="s">
        <v>3591</v>
      </c>
      <c r="D3123" s="179" t="s">
        <v>216</v>
      </c>
      <c r="E3123" s="181">
        <v>0.5</v>
      </c>
    </row>
    <row r="3124" spans="2:5" ht="12.75" x14ac:dyDescent="0.2">
      <c r="B3124" s="179" t="s">
        <v>3599</v>
      </c>
      <c r="C3124" s="180" t="s">
        <v>3591</v>
      </c>
      <c r="D3124" s="179" t="s">
        <v>216</v>
      </c>
      <c r="E3124" s="181">
        <v>0.5</v>
      </c>
    </row>
    <row r="3125" spans="2:5" ht="12.75" x14ac:dyDescent="0.2">
      <c r="B3125" s="179" t="s">
        <v>3600</v>
      </c>
      <c r="C3125" s="180" t="s">
        <v>3591</v>
      </c>
      <c r="D3125" s="179" t="s">
        <v>216</v>
      </c>
      <c r="E3125" s="181">
        <v>0.5</v>
      </c>
    </row>
    <row r="3126" spans="2:5" ht="12.75" x14ac:dyDescent="0.2">
      <c r="B3126" s="179" t="s">
        <v>3601</v>
      </c>
      <c r="C3126" s="180" t="s">
        <v>3602</v>
      </c>
      <c r="D3126" s="179" t="s">
        <v>214</v>
      </c>
      <c r="E3126" s="181">
        <v>0.5</v>
      </c>
    </row>
    <row r="3127" spans="2:5" ht="12.75" x14ac:dyDescent="0.2">
      <c r="B3127" s="179" t="s">
        <v>3603</v>
      </c>
      <c r="C3127" s="180" t="s">
        <v>3604</v>
      </c>
      <c r="D3127" s="179" t="s">
        <v>214</v>
      </c>
      <c r="E3127" s="181">
        <v>2</v>
      </c>
    </row>
    <row r="3128" spans="2:5" ht="12.75" x14ac:dyDescent="0.2">
      <c r="B3128" s="179" t="s">
        <v>3605</v>
      </c>
      <c r="C3128" s="180" t="s">
        <v>3604</v>
      </c>
      <c r="D3128" s="179" t="s">
        <v>214</v>
      </c>
      <c r="E3128" s="181">
        <v>2</v>
      </c>
    </row>
    <row r="3129" spans="2:5" ht="12.75" x14ac:dyDescent="0.2">
      <c r="B3129" s="179" t="s">
        <v>3606</v>
      </c>
      <c r="C3129" s="180" t="s">
        <v>3604</v>
      </c>
      <c r="D3129" s="179" t="s">
        <v>214</v>
      </c>
      <c r="E3129" s="181">
        <v>2</v>
      </c>
    </row>
    <row r="3130" spans="2:5" ht="12.75" x14ac:dyDescent="0.2">
      <c r="B3130" s="179" t="s">
        <v>3607</v>
      </c>
      <c r="C3130" s="180" t="s">
        <v>3608</v>
      </c>
      <c r="D3130" s="179" t="s">
        <v>214</v>
      </c>
      <c r="E3130" s="181">
        <v>2</v>
      </c>
    </row>
    <row r="3131" spans="2:5" ht="12.75" x14ac:dyDescent="0.2">
      <c r="B3131" s="179" t="s">
        <v>3607</v>
      </c>
      <c r="C3131" s="180" t="s">
        <v>3608</v>
      </c>
      <c r="D3131" s="179" t="s">
        <v>216</v>
      </c>
      <c r="E3131" s="181">
        <v>2</v>
      </c>
    </row>
    <row r="3132" spans="2:5" ht="12.75" x14ac:dyDescent="0.2">
      <c r="B3132" s="179" t="s">
        <v>3609</v>
      </c>
      <c r="C3132" s="180" t="s">
        <v>3610</v>
      </c>
      <c r="D3132" s="179" t="s">
        <v>214</v>
      </c>
      <c r="E3132" s="181">
        <v>0.5</v>
      </c>
    </row>
    <row r="3133" spans="2:5" ht="12.75" x14ac:dyDescent="0.2">
      <c r="B3133" s="179" t="s">
        <v>3611</v>
      </c>
      <c r="C3133" s="180" t="s">
        <v>3610</v>
      </c>
      <c r="D3133" s="179" t="s">
        <v>216</v>
      </c>
      <c r="E3133" s="181">
        <v>0.5</v>
      </c>
    </row>
    <row r="3134" spans="2:5" ht="12.75" x14ac:dyDescent="0.2">
      <c r="B3134" s="179" t="s">
        <v>3612</v>
      </c>
      <c r="C3134" s="180" t="s">
        <v>3610</v>
      </c>
      <c r="D3134" s="179" t="s">
        <v>216</v>
      </c>
      <c r="E3134" s="181">
        <v>0.5</v>
      </c>
    </row>
    <row r="3135" spans="2:5" ht="12.75" x14ac:dyDescent="0.2">
      <c r="B3135" s="179" t="s">
        <v>3613</v>
      </c>
      <c r="C3135" s="180" t="s">
        <v>3614</v>
      </c>
      <c r="D3135" s="179" t="s">
        <v>214</v>
      </c>
      <c r="E3135" s="181">
        <v>2</v>
      </c>
    </row>
    <row r="3136" spans="2:5" ht="12.75" x14ac:dyDescent="0.2">
      <c r="B3136" s="179" t="s">
        <v>3615</v>
      </c>
      <c r="C3136" s="180" t="s">
        <v>3616</v>
      </c>
      <c r="D3136" s="179" t="s">
        <v>214</v>
      </c>
      <c r="E3136" s="181">
        <v>2</v>
      </c>
    </row>
    <row r="3137" spans="2:5" ht="12.75" x14ac:dyDescent="0.2">
      <c r="B3137" s="179" t="s">
        <v>3617</v>
      </c>
      <c r="C3137" s="180" t="s">
        <v>3616</v>
      </c>
      <c r="D3137" s="179" t="s">
        <v>216</v>
      </c>
      <c r="E3137" s="181">
        <v>2</v>
      </c>
    </row>
    <row r="3138" spans="2:5" ht="12.75" x14ac:dyDescent="0.2">
      <c r="B3138" s="179" t="s">
        <v>3618</v>
      </c>
      <c r="C3138" s="180" t="s">
        <v>3616</v>
      </c>
      <c r="D3138" s="179" t="s">
        <v>216</v>
      </c>
      <c r="E3138" s="181">
        <v>2</v>
      </c>
    </row>
    <row r="3139" spans="2:5" ht="12.75" x14ac:dyDescent="0.2">
      <c r="B3139" s="179" t="s">
        <v>3619</v>
      </c>
      <c r="C3139" s="180" t="s">
        <v>3616</v>
      </c>
      <c r="D3139" s="179" t="s">
        <v>216</v>
      </c>
      <c r="E3139" s="181">
        <v>2</v>
      </c>
    </row>
    <row r="3140" spans="2:5" ht="12.75" x14ac:dyDescent="0.2">
      <c r="B3140" s="179" t="s">
        <v>3620</v>
      </c>
      <c r="C3140" s="180" t="s">
        <v>3616</v>
      </c>
      <c r="D3140" s="179" t="s">
        <v>216</v>
      </c>
      <c r="E3140" s="181">
        <v>2</v>
      </c>
    </row>
    <row r="3141" spans="2:5" ht="12.75" x14ac:dyDescent="0.2">
      <c r="B3141" s="179" t="s">
        <v>3621</v>
      </c>
      <c r="C3141" s="180" t="s">
        <v>3616</v>
      </c>
      <c r="D3141" s="179" t="s">
        <v>216</v>
      </c>
      <c r="E3141" s="181">
        <v>2</v>
      </c>
    </row>
    <row r="3142" spans="2:5" ht="12.75" x14ac:dyDescent="0.2">
      <c r="B3142" s="179" t="s">
        <v>3622</v>
      </c>
      <c r="C3142" s="180" t="s">
        <v>3623</v>
      </c>
      <c r="D3142" s="179" t="s">
        <v>214</v>
      </c>
      <c r="E3142" s="181">
        <v>0.5</v>
      </c>
    </row>
    <row r="3143" spans="2:5" ht="12.75" x14ac:dyDescent="0.2">
      <c r="B3143" s="179" t="s">
        <v>3624</v>
      </c>
      <c r="C3143" s="180" t="s">
        <v>3623</v>
      </c>
      <c r="D3143" s="179" t="s">
        <v>216</v>
      </c>
      <c r="E3143" s="181">
        <v>0.5</v>
      </c>
    </row>
    <row r="3144" spans="2:5" ht="12.75" x14ac:dyDescent="0.2">
      <c r="B3144" s="179" t="s">
        <v>3625</v>
      </c>
      <c r="C3144" s="180" t="s">
        <v>3623</v>
      </c>
      <c r="D3144" s="179" t="s">
        <v>216</v>
      </c>
      <c r="E3144" s="181">
        <v>0.5</v>
      </c>
    </row>
    <row r="3145" spans="2:5" ht="12.75" x14ac:dyDescent="0.2">
      <c r="B3145" s="179" t="s">
        <v>3626</v>
      </c>
      <c r="C3145" s="180" t="s">
        <v>3623</v>
      </c>
      <c r="D3145" s="179" t="s">
        <v>216</v>
      </c>
      <c r="E3145" s="181">
        <v>0.5</v>
      </c>
    </row>
    <row r="3146" spans="2:5" ht="12.75" x14ac:dyDescent="0.2">
      <c r="B3146" s="179" t="s">
        <v>3627</v>
      </c>
      <c r="C3146" s="180" t="s">
        <v>3623</v>
      </c>
      <c r="D3146" s="179" t="s">
        <v>216</v>
      </c>
      <c r="E3146" s="181">
        <v>0.5</v>
      </c>
    </row>
    <row r="3147" spans="2:5" ht="12.75" x14ac:dyDescent="0.2">
      <c r="B3147" s="179" t="s">
        <v>3628</v>
      </c>
      <c r="C3147" s="180" t="s">
        <v>3623</v>
      </c>
      <c r="D3147" s="179" t="s">
        <v>216</v>
      </c>
      <c r="E3147" s="181">
        <v>0.5</v>
      </c>
    </row>
    <row r="3148" spans="2:5" ht="12.75" x14ac:dyDescent="0.2">
      <c r="B3148" s="179" t="s">
        <v>3629</v>
      </c>
      <c r="C3148" s="180" t="s">
        <v>3623</v>
      </c>
      <c r="D3148" s="179" t="s">
        <v>216</v>
      </c>
      <c r="E3148" s="181">
        <v>0.5</v>
      </c>
    </row>
    <row r="3149" spans="2:5" ht="12.75" x14ac:dyDescent="0.2">
      <c r="B3149" s="179" t="s">
        <v>3630</v>
      </c>
      <c r="C3149" s="180" t="s">
        <v>3623</v>
      </c>
      <c r="D3149" s="179" t="s">
        <v>216</v>
      </c>
      <c r="E3149" s="181">
        <v>0.5</v>
      </c>
    </row>
    <row r="3150" spans="2:5" ht="12.75" x14ac:dyDescent="0.2">
      <c r="B3150" s="179" t="s">
        <v>3631</v>
      </c>
      <c r="C3150" s="180" t="s">
        <v>3623</v>
      </c>
      <c r="D3150" s="179" t="s">
        <v>216</v>
      </c>
      <c r="E3150" s="181">
        <v>0.5</v>
      </c>
    </row>
    <row r="3151" spans="2:5" ht="12.75" x14ac:dyDescent="0.2">
      <c r="B3151" s="179" t="s">
        <v>3632</v>
      </c>
      <c r="C3151" s="180" t="s">
        <v>3623</v>
      </c>
      <c r="D3151" s="179" t="s">
        <v>216</v>
      </c>
      <c r="E3151" s="181">
        <v>0.5</v>
      </c>
    </row>
    <row r="3152" spans="2:5" ht="12.75" x14ac:dyDescent="0.2">
      <c r="B3152" s="179" t="s">
        <v>3633</v>
      </c>
      <c r="C3152" s="180" t="s">
        <v>3623</v>
      </c>
      <c r="D3152" s="179" t="s">
        <v>216</v>
      </c>
      <c r="E3152" s="181">
        <v>0.5</v>
      </c>
    </row>
    <row r="3153" spans="2:5" ht="12.75" x14ac:dyDescent="0.2">
      <c r="B3153" s="179" t="s">
        <v>3634</v>
      </c>
      <c r="C3153" s="180" t="s">
        <v>3623</v>
      </c>
      <c r="D3153" s="179" t="s">
        <v>216</v>
      </c>
      <c r="E3153" s="181">
        <v>0.5</v>
      </c>
    </row>
    <row r="3154" spans="2:5" ht="12.75" x14ac:dyDescent="0.2">
      <c r="B3154" s="179" t="s">
        <v>3635</v>
      </c>
      <c r="C3154" s="180" t="s">
        <v>3623</v>
      </c>
      <c r="D3154" s="179" t="s">
        <v>216</v>
      </c>
      <c r="E3154" s="181">
        <v>0.5</v>
      </c>
    </row>
    <row r="3155" spans="2:5" ht="12.75" x14ac:dyDescent="0.2">
      <c r="B3155" s="179" t="s">
        <v>3636</v>
      </c>
      <c r="C3155" s="180" t="s">
        <v>3623</v>
      </c>
      <c r="D3155" s="179" t="s">
        <v>216</v>
      </c>
      <c r="E3155" s="181">
        <v>0.5</v>
      </c>
    </row>
    <row r="3156" spans="2:5" ht="12.75" x14ac:dyDescent="0.2">
      <c r="B3156" s="179" t="s">
        <v>3637</v>
      </c>
      <c r="C3156" s="180" t="s">
        <v>3623</v>
      </c>
      <c r="D3156" s="179" t="s">
        <v>216</v>
      </c>
      <c r="E3156" s="181">
        <v>0.5</v>
      </c>
    </row>
    <row r="3157" spans="2:5" ht="12.75" x14ac:dyDescent="0.2">
      <c r="B3157" s="179" t="s">
        <v>3638</v>
      </c>
      <c r="C3157" s="180" t="s">
        <v>3623</v>
      </c>
      <c r="D3157" s="179" t="s">
        <v>216</v>
      </c>
      <c r="E3157" s="181">
        <v>0.5</v>
      </c>
    </row>
    <row r="3158" spans="2:5" ht="12.75" x14ac:dyDescent="0.2">
      <c r="B3158" s="179" t="s">
        <v>3639</v>
      </c>
      <c r="C3158" s="180" t="s">
        <v>3623</v>
      </c>
      <c r="D3158" s="179" t="s">
        <v>216</v>
      </c>
      <c r="E3158" s="181">
        <v>0.5</v>
      </c>
    </row>
    <row r="3159" spans="2:5" ht="12.75" x14ac:dyDescent="0.2">
      <c r="B3159" s="179" t="s">
        <v>3640</v>
      </c>
      <c r="C3159" s="180" t="s">
        <v>3623</v>
      </c>
      <c r="D3159" s="179" t="s">
        <v>216</v>
      </c>
      <c r="E3159" s="181">
        <v>0.5</v>
      </c>
    </row>
    <row r="3160" spans="2:5" ht="12.75" x14ac:dyDescent="0.2">
      <c r="B3160" s="179" t="s">
        <v>3641</v>
      </c>
      <c r="C3160" s="180" t="s">
        <v>3642</v>
      </c>
      <c r="D3160" s="179" t="s">
        <v>214</v>
      </c>
      <c r="E3160" s="181">
        <v>1</v>
      </c>
    </row>
    <row r="3161" spans="2:5" ht="12.75" x14ac:dyDescent="0.2">
      <c r="B3161" s="179" t="s">
        <v>3643</v>
      </c>
      <c r="C3161" s="180" t="s">
        <v>3642</v>
      </c>
      <c r="D3161" s="179" t="s">
        <v>216</v>
      </c>
      <c r="E3161" s="181">
        <v>1</v>
      </c>
    </row>
    <row r="3162" spans="2:5" ht="12.75" x14ac:dyDescent="0.2">
      <c r="B3162" s="179" t="s">
        <v>3644</v>
      </c>
      <c r="C3162" s="180" t="s">
        <v>3645</v>
      </c>
      <c r="D3162" s="179" t="s">
        <v>214</v>
      </c>
      <c r="E3162" s="181">
        <v>0.5</v>
      </c>
    </row>
    <row r="3163" spans="2:5" ht="12.75" x14ac:dyDescent="0.2">
      <c r="B3163" s="179" t="s">
        <v>3644</v>
      </c>
      <c r="C3163" s="180" t="s">
        <v>3645</v>
      </c>
      <c r="D3163" s="179" t="s">
        <v>216</v>
      </c>
      <c r="E3163" s="181">
        <v>0.5</v>
      </c>
    </row>
    <row r="3164" spans="2:5" ht="12.75" x14ac:dyDescent="0.2">
      <c r="B3164" s="179" t="s">
        <v>3646</v>
      </c>
      <c r="C3164" s="180" t="s">
        <v>3647</v>
      </c>
      <c r="D3164" s="179" t="s">
        <v>214</v>
      </c>
      <c r="E3164" s="181">
        <v>0.5</v>
      </c>
    </row>
    <row r="3165" spans="2:5" ht="12.75" x14ac:dyDescent="0.2">
      <c r="B3165" s="179" t="s">
        <v>3648</v>
      </c>
      <c r="C3165" s="180" t="s">
        <v>3647</v>
      </c>
      <c r="D3165" s="179" t="s">
        <v>216</v>
      </c>
      <c r="E3165" s="181">
        <v>0.5</v>
      </c>
    </row>
    <row r="3166" spans="2:5" ht="12.75" x14ac:dyDescent="0.2">
      <c r="B3166" s="179" t="s">
        <v>3649</v>
      </c>
      <c r="C3166" s="180" t="s">
        <v>3647</v>
      </c>
      <c r="D3166" s="179" t="s">
        <v>216</v>
      </c>
      <c r="E3166" s="181">
        <v>0.5</v>
      </c>
    </row>
    <row r="3167" spans="2:5" ht="12.75" x14ac:dyDescent="0.2">
      <c r="B3167" s="179" t="s">
        <v>3650</v>
      </c>
      <c r="C3167" s="180" t="s">
        <v>3647</v>
      </c>
      <c r="D3167" s="179" t="s">
        <v>216</v>
      </c>
      <c r="E3167" s="181">
        <v>0.5</v>
      </c>
    </row>
    <row r="3168" spans="2:5" ht="12.75" x14ac:dyDescent="0.2">
      <c r="B3168" s="179" t="s">
        <v>3651</v>
      </c>
      <c r="C3168" s="180" t="s">
        <v>3647</v>
      </c>
      <c r="D3168" s="179" t="s">
        <v>216</v>
      </c>
      <c r="E3168" s="181">
        <v>0.5</v>
      </c>
    </row>
    <row r="3169" spans="2:5" ht="12.75" x14ac:dyDescent="0.2">
      <c r="B3169" s="179" t="s">
        <v>3652</v>
      </c>
      <c r="C3169" s="180" t="s">
        <v>3647</v>
      </c>
      <c r="D3169" s="179" t="s">
        <v>216</v>
      </c>
      <c r="E3169" s="181">
        <v>0.5</v>
      </c>
    </row>
    <row r="3170" spans="2:5" ht="12.75" x14ac:dyDescent="0.2">
      <c r="B3170" s="179" t="s">
        <v>3653</v>
      </c>
      <c r="C3170" s="180" t="s">
        <v>3647</v>
      </c>
      <c r="D3170" s="179" t="s">
        <v>216</v>
      </c>
      <c r="E3170" s="181">
        <v>0.5</v>
      </c>
    </row>
    <row r="3171" spans="2:5" ht="12.75" x14ac:dyDescent="0.2">
      <c r="B3171" s="179" t="s">
        <v>3654</v>
      </c>
      <c r="C3171" s="180" t="s">
        <v>3647</v>
      </c>
      <c r="D3171" s="179" t="s">
        <v>216</v>
      </c>
      <c r="E3171" s="181">
        <v>0.5</v>
      </c>
    </row>
    <row r="3172" spans="2:5" ht="12.75" x14ac:dyDescent="0.2">
      <c r="B3172" s="179" t="s">
        <v>3655</v>
      </c>
      <c r="C3172" s="180" t="s">
        <v>3647</v>
      </c>
      <c r="D3172" s="179" t="s">
        <v>216</v>
      </c>
      <c r="E3172" s="181">
        <v>0.5</v>
      </c>
    </row>
    <row r="3173" spans="2:5" ht="12.75" x14ac:dyDescent="0.2">
      <c r="B3173" s="179" t="s">
        <v>3656</v>
      </c>
      <c r="C3173" s="180" t="s">
        <v>3657</v>
      </c>
      <c r="D3173" s="179" t="s">
        <v>214</v>
      </c>
      <c r="E3173" s="181">
        <v>2</v>
      </c>
    </row>
    <row r="3174" spans="2:5" ht="12.75" x14ac:dyDescent="0.2">
      <c r="B3174" s="179" t="s">
        <v>3658</v>
      </c>
      <c r="C3174" s="180" t="s">
        <v>3657</v>
      </c>
      <c r="D3174" s="179" t="s">
        <v>216</v>
      </c>
      <c r="E3174" s="181">
        <v>1</v>
      </c>
    </row>
    <row r="3175" spans="2:5" ht="12.75" x14ac:dyDescent="0.2">
      <c r="B3175" s="179" t="s">
        <v>3659</v>
      </c>
      <c r="C3175" s="180" t="s">
        <v>3657</v>
      </c>
      <c r="D3175" s="179" t="s">
        <v>216</v>
      </c>
      <c r="E3175" s="181">
        <v>1</v>
      </c>
    </row>
    <row r="3176" spans="2:5" ht="12.75" x14ac:dyDescent="0.2">
      <c r="B3176" s="179" t="s">
        <v>3660</v>
      </c>
      <c r="C3176" s="180" t="s">
        <v>3657</v>
      </c>
      <c r="D3176" s="179" t="s">
        <v>216</v>
      </c>
      <c r="E3176" s="181">
        <v>1</v>
      </c>
    </row>
    <row r="3177" spans="2:5" ht="12.75" x14ac:dyDescent="0.2">
      <c r="B3177" s="179" t="s">
        <v>3661</v>
      </c>
      <c r="C3177" s="180" t="s">
        <v>3657</v>
      </c>
      <c r="D3177" s="179" t="s">
        <v>216</v>
      </c>
      <c r="E3177" s="181">
        <v>1</v>
      </c>
    </row>
    <row r="3178" spans="2:5" ht="12.75" x14ac:dyDescent="0.2">
      <c r="B3178" s="179" t="s">
        <v>3662</v>
      </c>
      <c r="C3178" s="180" t="s">
        <v>3657</v>
      </c>
      <c r="D3178" s="179" t="s">
        <v>216</v>
      </c>
      <c r="E3178" s="181">
        <v>1</v>
      </c>
    </row>
    <row r="3179" spans="2:5" ht="12.75" x14ac:dyDescent="0.2">
      <c r="B3179" s="179" t="s">
        <v>3663</v>
      </c>
      <c r="C3179" s="180" t="s">
        <v>3657</v>
      </c>
      <c r="D3179" s="179" t="s">
        <v>216</v>
      </c>
      <c r="E3179" s="181">
        <v>1</v>
      </c>
    </row>
    <row r="3180" spans="2:5" ht="12.75" x14ac:dyDescent="0.2">
      <c r="B3180" s="179" t="s">
        <v>3664</v>
      </c>
      <c r="C3180" s="180" t="s">
        <v>3657</v>
      </c>
      <c r="D3180" s="179" t="s">
        <v>216</v>
      </c>
      <c r="E3180" s="181">
        <v>1</v>
      </c>
    </row>
    <row r="3181" spans="2:5" ht="12.75" x14ac:dyDescent="0.2">
      <c r="B3181" s="179" t="s">
        <v>3665</v>
      </c>
      <c r="C3181" s="180" t="s">
        <v>3657</v>
      </c>
      <c r="D3181" s="179" t="s">
        <v>216</v>
      </c>
      <c r="E3181" s="181">
        <v>1</v>
      </c>
    </row>
    <row r="3182" spans="2:5" ht="12.75" x14ac:dyDescent="0.2">
      <c r="B3182" s="179" t="s">
        <v>3666</v>
      </c>
      <c r="C3182" s="180" t="s">
        <v>3657</v>
      </c>
      <c r="D3182" s="179" t="s">
        <v>216</v>
      </c>
      <c r="E3182" s="181">
        <v>1</v>
      </c>
    </row>
    <row r="3183" spans="2:5" ht="12.75" x14ac:dyDescent="0.2">
      <c r="B3183" s="179" t="s">
        <v>3667</v>
      </c>
      <c r="C3183" s="180" t="s">
        <v>3657</v>
      </c>
      <c r="D3183" s="179" t="s">
        <v>216</v>
      </c>
      <c r="E3183" s="181">
        <v>1</v>
      </c>
    </row>
    <row r="3184" spans="2:5" ht="12.75" x14ac:dyDescent="0.2">
      <c r="B3184" s="179" t="s">
        <v>3668</v>
      </c>
      <c r="C3184" s="180" t="s">
        <v>3657</v>
      </c>
      <c r="D3184" s="179" t="s">
        <v>216</v>
      </c>
      <c r="E3184" s="181">
        <v>1</v>
      </c>
    </row>
    <row r="3185" spans="2:5" ht="12.75" x14ac:dyDescent="0.2">
      <c r="B3185" s="179" t="s">
        <v>3669</v>
      </c>
      <c r="C3185" s="180" t="s">
        <v>3657</v>
      </c>
      <c r="D3185" s="179" t="s">
        <v>216</v>
      </c>
      <c r="E3185" s="181">
        <v>1</v>
      </c>
    </row>
    <row r="3186" spans="2:5" ht="12.75" x14ac:dyDescent="0.2">
      <c r="B3186" s="179" t="s">
        <v>3670</v>
      </c>
      <c r="C3186" s="180" t="s">
        <v>3657</v>
      </c>
      <c r="D3186" s="179" t="s">
        <v>216</v>
      </c>
      <c r="E3186" s="181">
        <v>1</v>
      </c>
    </row>
    <row r="3187" spans="2:5" ht="12.75" x14ac:dyDescent="0.2">
      <c r="B3187" s="179" t="s">
        <v>3671</v>
      </c>
      <c r="C3187" s="180" t="s">
        <v>3657</v>
      </c>
      <c r="D3187" s="179" t="s">
        <v>216</v>
      </c>
      <c r="E3187" s="181">
        <v>1</v>
      </c>
    </row>
    <row r="3188" spans="2:5" ht="12.75" x14ac:dyDescent="0.2">
      <c r="B3188" s="179" t="s">
        <v>3672</v>
      </c>
      <c r="C3188" s="180" t="s">
        <v>3657</v>
      </c>
      <c r="D3188" s="179" t="s">
        <v>216</v>
      </c>
      <c r="E3188" s="181">
        <v>1</v>
      </c>
    </row>
    <row r="3189" spans="2:5" ht="12.75" x14ac:dyDescent="0.2">
      <c r="B3189" s="179" t="s">
        <v>3673</v>
      </c>
      <c r="C3189" s="180" t="s">
        <v>3657</v>
      </c>
      <c r="D3189" s="179" t="s">
        <v>216</v>
      </c>
      <c r="E3189" s="181">
        <v>1</v>
      </c>
    </row>
    <row r="3190" spans="2:5" ht="12.75" x14ac:dyDescent="0.2">
      <c r="B3190" s="179" t="s">
        <v>3674</v>
      </c>
      <c r="C3190" s="180" t="s">
        <v>3657</v>
      </c>
      <c r="D3190" s="179" t="s">
        <v>216</v>
      </c>
      <c r="E3190" s="181">
        <v>1</v>
      </c>
    </row>
    <row r="3191" spans="2:5" ht="12.75" x14ac:dyDescent="0.2">
      <c r="B3191" s="179" t="s">
        <v>3675</v>
      </c>
      <c r="C3191" s="180" t="s">
        <v>3657</v>
      </c>
      <c r="D3191" s="179" t="s">
        <v>216</v>
      </c>
      <c r="E3191" s="181">
        <v>1</v>
      </c>
    </row>
    <row r="3192" spans="2:5" ht="12.75" x14ac:dyDescent="0.2">
      <c r="B3192" s="179" t="s">
        <v>3676</v>
      </c>
      <c r="C3192" s="180" t="s">
        <v>3657</v>
      </c>
      <c r="D3192" s="179" t="s">
        <v>216</v>
      </c>
      <c r="E3192" s="181">
        <v>1</v>
      </c>
    </row>
    <row r="3193" spans="2:5" ht="12.75" x14ac:dyDescent="0.2">
      <c r="B3193" s="179" t="s">
        <v>3677</v>
      </c>
      <c r="C3193" s="180" t="s">
        <v>3657</v>
      </c>
      <c r="D3193" s="179" t="s">
        <v>216</v>
      </c>
      <c r="E3193" s="181">
        <v>1</v>
      </c>
    </row>
    <row r="3194" spans="2:5" ht="12.75" x14ac:dyDescent="0.2">
      <c r="B3194" s="179" t="s">
        <v>3678</v>
      </c>
      <c r="C3194" s="180" t="s">
        <v>3657</v>
      </c>
      <c r="D3194" s="179" t="s">
        <v>216</v>
      </c>
      <c r="E3194" s="181">
        <v>1</v>
      </c>
    </row>
    <row r="3195" spans="2:5" ht="12.75" x14ac:dyDescent="0.2">
      <c r="B3195" s="179" t="s">
        <v>3679</v>
      </c>
      <c r="C3195" s="180" t="s">
        <v>3680</v>
      </c>
      <c r="D3195" s="179" t="s">
        <v>214</v>
      </c>
      <c r="E3195" s="181">
        <v>2</v>
      </c>
    </row>
    <row r="3196" spans="2:5" ht="12.75" x14ac:dyDescent="0.2">
      <c r="B3196" s="179" t="s">
        <v>3681</v>
      </c>
      <c r="C3196" s="180" t="s">
        <v>3680</v>
      </c>
      <c r="D3196" s="179" t="s">
        <v>216</v>
      </c>
      <c r="E3196" s="181">
        <v>2</v>
      </c>
    </row>
    <row r="3197" spans="2:5" ht="12.75" x14ac:dyDescent="0.2">
      <c r="B3197" s="179" t="s">
        <v>3682</v>
      </c>
      <c r="C3197" s="180" t="s">
        <v>3683</v>
      </c>
      <c r="D3197" s="179" t="s">
        <v>214</v>
      </c>
      <c r="E3197" s="181">
        <v>0.5</v>
      </c>
    </row>
    <row r="3198" spans="2:5" ht="12.75" x14ac:dyDescent="0.2">
      <c r="B3198" s="179" t="s">
        <v>3684</v>
      </c>
      <c r="C3198" s="180" t="s">
        <v>3683</v>
      </c>
      <c r="D3198" s="179" t="s">
        <v>216</v>
      </c>
      <c r="E3198" s="181">
        <v>0.5</v>
      </c>
    </row>
    <row r="3199" spans="2:5" ht="12.75" x14ac:dyDescent="0.2">
      <c r="B3199" s="179" t="s">
        <v>3685</v>
      </c>
      <c r="C3199" s="180" t="s">
        <v>3683</v>
      </c>
      <c r="D3199" s="179" t="s">
        <v>216</v>
      </c>
      <c r="E3199" s="181">
        <v>0.5</v>
      </c>
    </row>
    <row r="3200" spans="2:5" ht="12.75" x14ac:dyDescent="0.2">
      <c r="B3200" s="179" t="s">
        <v>3686</v>
      </c>
      <c r="C3200" s="180" t="s">
        <v>3683</v>
      </c>
      <c r="D3200" s="179" t="s">
        <v>216</v>
      </c>
      <c r="E3200" s="181">
        <v>0.5</v>
      </c>
    </row>
    <row r="3201" spans="2:5" ht="12.75" x14ac:dyDescent="0.2">
      <c r="B3201" s="179" t="s">
        <v>3687</v>
      </c>
      <c r="C3201" s="180" t="s">
        <v>3683</v>
      </c>
      <c r="D3201" s="179" t="s">
        <v>216</v>
      </c>
      <c r="E3201" s="181">
        <v>0.5</v>
      </c>
    </row>
    <row r="3202" spans="2:5" ht="12.75" x14ac:dyDescent="0.2">
      <c r="B3202" s="179" t="s">
        <v>3688</v>
      </c>
      <c r="C3202" s="180" t="s">
        <v>3683</v>
      </c>
      <c r="D3202" s="179" t="s">
        <v>216</v>
      </c>
      <c r="E3202" s="181">
        <v>0.5</v>
      </c>
    </row>
    <row r="3203" spans="2:5" ht="12.75" x14ac:dyDescent="0.2">
      <c r="B3203" s="179" t="s">
        <v>3689</v>
      </c>
      <c r="C3203" s="180" t="s">
        <v>3683</v>
      </c>
      <c r="D3203" s="179" t="s">
        <v>216</v>
      </c>
      <c r="E3203" s="181">
        <v>0.5</v>
      </c>
    </row>
    <row r="3204" spans="2:5" ht="12.75" x14ac:dyDescent="0.2">
      <c r="B3204" s="179" t="s">
        <v>3690</v>
      </c>
      <c r="C3204" s="180" t="s">
        <v>3683</v>
      </c>
      <c r="D3204" s="179" t="s">
        <v>216</v>
      </c>
      <c r="E3204" s="181">
        <v>0.5</v>
      </c>
    </row>
    <row r="3205" spans="2:5" ht="12.75" x14ac:dyDescent="0.2">
      <c r="B3205" s="179" t="s">
        <v>3691</v>
      </c>
      <c r="C3205" s="180" t="s">
        <v>3683</v>
      </c>
      <c r="D3205" s="179" t="s">
        <v>216</v>
      </c>
      <c r="E3205" s="181">
        <v>0.5</v>
      </c>
    </row>
    <row r="3206" spans="2:5" ht="12.75" x14ac:dyDescent="0.2">
      <c r="B3206" s="179" t="s">
        <v>3692</v>
      </c>
      <c r="C3206" s="180" t="s">
        <v>3683</v>
      </c>
      <c r="D3206" s="179" t="s">
        <v>216</v>
      </c>
      <c r="E3206" s="181">
        <v>0.5</v>
      </c>
    </row>
    <row r="3207" spans="2:5" ht="12.75" x14ac:dyDescent="0.2">
      <c r="B3207" s="179" t="s">
        <v>3693</v>
      </c>
      <c r="C3207" s="180" t="s">
        <v>3694</v>
      </c>
      <c r="D3207" s="179" t="s">
        <v>214</v>
      </c>
      <c r="E3207" s="181">
        <v>0.5</v>
      </c>
    </row>
    <row r="3208" spans="2:5" ht="12.75" x14ac:dyDescent="0.2">
      <c r="B3208" s="179" t="s">
        <v>3695</v>
      </c>
      <c r="C3208" s="180" t="s">
        <v>3694</v>
      </c>
      <c r="D3208" s="179" t="s">
        <v>216</v>
      </c>
      <c r="E3208" s="181">
        <v>1</v>
      </c>
    </row>
    <row r="3209" spans="2:5" ht="12.75" x14ac:dyDescent="0.2">
      <c r="B3209" s="179" t="s">
        <v>3696</v>
      </c>
      <c r="C3209" s="180" t="s">
        <v>3694</v>
      </c>
      <c r="D3209" s="179" t="s">
        <v>216</v>
      </c>
      <c r="E3209" s="181">
        <v>1</v>
      </c>
    </row>
    <row r="3210" spans="2:5" ht="12.75" x14ac:dyDescent="0.2">
      <c r="B3210" s="179" t="s">
        <v>3697</v>
      </c>
      <c r="C3210" s="180" t="s">
        <v>3694</v>
      </c>
      <c r="D3210" s="179" t="s">
        <v>216</v>
      </c>
      <c r="E3210" s="181">
        <v>1</v>
      </c>
    </row>
    <row r="3211" spans="2:5" ht="12.75" x14ac:dyDescent="0.2">
      <c r="B3211" s="179" t="s">
        <v>3698</v>
      </c>
      <c r="C3211" s="180" t="s">
        <v>3694</v>
      </c>
      <c r="D3211" s="179" t="s">
        <v>216</v>
      </c>
      <c r="E3211" s="181">
        <v>1</v>
      </c>
    </row>
    <row r="3212" spans="2:5" ht="12.75" x14ac:dyDescent="0.2">
      <c r="B3212" s="179" t="s">
        <v>3699</v>
      </c>
      <c r="C3212" s="180" t="s">
        <v>3694</v>
      </c>
      <c r="D3212" s="179" t="s">
        <v>216</v>
      </c>
      <c r="E3212" s="181">
        <v>1</v>
      </c>
    </row>
    <row r="3213" spans="2:5" ht="12.75" x14ac:dyDescent="0.2">
      <c r="B3213" s="179" t="s">
        <v>3700</v>
      </c>
      <c r="C3213" s="180" t="s">
        <v>3694</v>
      </c>
      <c r="D3213" s="179" t="s">
        <v>216</v>
      </c>
      <c r="E3213" s="181">
        <v>1</v>
      </c>
    </row>
    <row r="3214" spans="2:5" ht="12.75" x14ac:dyDescent="0.2">
      <c r="B3214" s="179" t="s">
        <v>3701</v>
      </c>
      <c r="C3214" s="180" t="s">
        <v>3694</v>
      </c>
      <c r="D3214" s="179" t="s">
        <v>216</v>
      </c>
      <c r="E3214" s="181">
        <v>1</v>
      </c>
    </row>
    <row r="3215" spans="2:5" ht="12.75" x14ac:dyDescent="0.2">
      <c r="B3215" s="179" t="s">
        <v>3702</v>
      </c>
      <c r="C3215" s="180" t="s">
        <v>3694</v>
      </c>
      <c r="D3215" s="179" t="s">
        <v>216</v>
      </c>
      <c r="E3215" s="181">
        <v>1</v>
      </c>
    </row>
    <row r="3216" spans="2:5" ht="12.75" x14ac:dyDescent="0.2">
      <c r="B3216" s="179" t="s">
        <v>3703</v>
      </c>
      <c r="C3216" s="180" t="s">
        <v>3694</v>
      </c>
      <c r="D3216" s="179" t="s">
        <v>216</v>
      </c>
      <c r="E3216" s="181">
        <v>1</v>
      </c>
    </row>
    <row r="3217" spans="2:5" ht="12.75" x14ac:dyDescent="0.2">
      <c r="B3217" s="179" t="s">
        <v>3704</v>
      </c>
      <c r="C3217" s="180" t="s">
        <v>3705</v>
      </c>
      <c r="D3217" s="179" t="s">
        <v>214</v>
      </c>
      <c r="E3217" s="181">
        <v>0.1</v>
      </c>
    </row>
    <row r="3218" spans="2:5" ht="12.75" x14ac:dyDescent="0.2">
      <c r="B3218" s="179" t="s">
        <v>3706</v>
      </c>
      <c r="C3218" s="180" t="s">
        <v>3705</v>
      </c>
      <c r="D3218" s="179" t="s">
        <v>216</v>
      </c>
      <c r="E3218" s="181">
        <v>0.5</v>
      </c>
    </row>
    <row r="3219" spans="2:5" ht="12.75" x14ac:dyDescent="0.2">
      <c r="B3219" s="179" t="s">
        <v>3707</v>
      </c>
      <c r="C3219" s="180" t="s">
        <v>3708</v>
      </c>
      <c r="D3219" s="179" t="s">
        <v>214</v>
      </c>
      <c r="E3219" s="181">
        <v>0.1</v>
      </c>
    </row>
    <row r="3220" spans="2:5" ht="12.75" x14ac:dyDescent="0.2">
      <c r="B3220" s="179" t="s">
        <v>3709</v>
      </c>
      <c r="C3220" s="180" t="s">
        <v>3710</v>
      </c>
      <c r="D3220" s="179" t="s">
        <v>214</v>
      </c>
      <c r="E3220" s="181">
        <v>0.5</v>
      </c>
    </row>
    <row r="3221" spans="2:5" ht="12.75" x14ac:dyDescent="0.2">
      <c r="B3221" s="179" t="s">
        <v>3711</v>
      </c>
      <c r="C3221" s="180" t="s">
        <v>3712</v>
      </c>
      <c r="D3221" s="179" t="s">
        <v>214</v>
      </c>
      <c r="E3221" s="181">
        <v>2</v>
      </c>
    </row>
    <row r="3222" spans="2:5" ht="12.75" x14ac:dyDescent="0.2">
      <c r="B3222" s="179" t="s">
        <v>3713</v>
      </c>
      <c r="C3222" s="180" t="s">
        <v>3712</v>
      </c>
      <c r="D3222" s="179" t="s">
        <v>216</v>
      </c>
      <c r="E3222" s="181">
        <v>2</v>
      </c>
    </row>
    <row r="3223" spans="2:5" ht="12.75" x14ac:dyDescent="0.2">
      <c r="B3223" s="179" t="s">
        <v>3714</v>
      </c>
      <c r="C3223" s="180" t="s">
        <v>3712</v>
      </c>
      <c r="D3223" s="179" t="s">
        <v>216</v>
      </c>
      <c r="E3223" s="181">
        <v>2</v>
      </c>
    </row>
    <row r="3224" spans="2:5" ht="12.75" x14ac:dyDescent="0.2">
      <c r="B3224" s="179" t="s">
        <v>3715</v>
      </c>
      <c r="C3224" s="180" t="s">
        <v>3712</v>
      </c>
      <c r="D3224" s="179" t="s">
        <v>216</v>
      </c>
      <c r="E3224" s="181">
        <v>2</v>
      </c>
    </row>
    <row r="3225" spans="2:5" ht="12.75" x14ac:dyDescent="0.2">
      <c r="B3225" s="179" t="s">
        <v>3716</v>
      </c>
      <c r="C3225" s="180" t="s">
        <v>3717</v>
      </c>
      <c r="D3225" s="179" t="s">
        <v>214</v>
      </c>
      <c r="E3225" s="181">
        <v>0.1</v>
      </c>
    </row>
    <row r="3226" spans="2:5" ht="12.75" x14ac:dyDescent="0.2">
      <c r="B3226" s="179" t="s">
        <v>3718</v>
      </c>
      <c r="C3226" s="180" t="s">
        <v>3717</v>
      </c>
      <c r="D3226" s="179" t="s">
        <v>216</v>
      </c>
      <c r="E3226" s="181">
        <v>0.5</v>
      </c>
    </row>
    <row r="3227" spans="2:5" ht="12.75" x14ac:dyDescent="0.2">
      <c r="B3227" s="179" t="s">
        <v>3719</v>
      </c>
      <c r="C3227" s="180" t="s">
        <v>3717</v>
      </c>
      <c r="D3227" s="179" t="s">
        <v>216</v>
      </c>
      <c r="E3227" s="181">
        <v>0.5</v>
      </c>
    </row>
    <row r="3228" spans="2:5" ht="12.75" x14ac:dyDescent="0.2">
      <c r="B3228" s="179" t="s">
        <v>3720</v>
      </c>
      <c r="C3228" s="180" t="s">
        <v>3721</v>
      </c>
      <c r="D3228" s="179" t="s">
        <v>214</v>
      </c>
      <c r="E3228" s="181">
        <v>0.1</v>
      </c>
    </row>
    <row r="3229" spans="2:5" ht="12.75" x14ac:dyDescent="0.2">
      <c r="B3229" s="179" t="s">
        <v>3722</v>
      </c>
      <c r="C3229" s="180" t="s">
        <v>3721</v>
      </c>
      <c r="D3229" s="179" t="s">
        <v>216</v>
      </c>
      <c r="E3229" s="181">
        <v>0.1</v>
      </c>
    </row>
    <row r="3230" spans="2:5" ht="12.75" x14ac:dyDescent="0.2">
      <c r="B3230" s="179" t="s">
        <v>3723</v>
      </c>
      <c r="C3230" s="180" t="s">
        <v>3721</v>
      </c>
      <c r="D3230" s="179" t="s">
        <v>216</v>
      </c>
      <c r="E3230" s="181">
        <v>0.1</v>
      </c>
    </row>
    <row r="3231" spans="2:5" ht="12.75" x14ac:dyDescent="0.2">
      <c r="B3231" s="179" t="s">
        <v>3724</v>
      </c>
      <c r="C3231" s="180" t="s">
        <v>3721</v>
      </c>
      <c r="D3231" s="179" t="s">
        <v>216</v>
      </c>
      <c r="E3231" s="181">
        <v>0.1</v>
      </c>
    </row>
    <row r="3232" spans="2:5" ht="12.75" x14ac:dyDescent="0.2">
      <c r="B3232" s="179" t="s">
        <v>3725</v>
      </c>
      <c r="C3232" s="180" t="s">
        <v>3721</v>
      </c>
      <c r="D3232" s="179" t="s">
        <v>216</v>
      </c>
      <c r="E3232" s="181">
        <v>0.1</v>
      </c>
    </row>
    <row r="3233" spans="2:5" ht="12.75" x14ac:dyDescent="0.2">
      <c r="B3233" s="179" t="s">
        <v>3726</v>
      </c>
      <c r="C3233" s="180" t="s">
        <v>3721</v>
      </c>
      <c r="D3233" s="179" t="s">
        <v>216</v>
      </c>
      <c r="E3233" s="181">
        <v>0.1</v>
      </c>
    </row>
    <row r="3234" spans="2:5" ht="12.75" x14ac:dyDescent="0.2">
      <c r="B3234" s="179" t="s">
        <v>3727</v>
      </c>
      <c r="C3234" s="180" t="s">
        <v>3721</v>
      </c>
      <c r="D3234" s="179" t="s">
        <v>216</v>
      </c>
      <c r="E3234" s="181">
        <v>0.1</v>
      </c>
    </row>
    <row r="3235" spans="2:5" ht="12.75" x14ac:dyDescent="0.2">
      <c r="B3235" s="179" t="s">
        <v>3728</v>
      </c>
      <c r="C3235" s="180" t="s">
        <v>3721</v>
      </c>
      <c r="D3235" s="179" t="s">
        <v>216</v>
      </c>
      <c r="E3235" s="181">
        <v>0.1</v>
      </c>
    </row>
    <row r="3236" spans="2:5" ht="12.75" x14ac:dyDescent="0.2">
      <c r="B3236" s="179" t="s">
        <v>3729</v>
      </c>
      <c r="C3236" s="180" t="s">
        <v>3721</v>
      </c>
      <c r="D3236" s="179" t="s">
        <v>216</v>
      </c>
      <c r="E3236" s="181">
        <v>0.1</v>
      </c>
    </row>
    <row r="3237" spans="2:5" ht="12.75" x14ac:dyDescent="0.2">
      <c r="B3237" s="179" t="s">
        <v>3730</v>
      </c>
      <c r="C3237" s="180" t="s">
        <v>3721</v>
      </c>
      <c r="D3237" s="179" t="s">
        <v>216</v>
      </c>
      <c r="E3237" s="181">
        <v>0.1</v>
      </c>
    </row>
    <row r="3238" spans="2:5" ht="12.75" x14ac:dyDescent="0.2">
      <c r="B3238" s="179" t="s">
        <v>3731</v>
      </c>
      <c r="C3238" s="180" t="s">
        <v>3721</v>
      </c>
      <c r="D3238" s="179" t="s">
        <v>216</v>
      </c>
      <c r="E3238" s="181">
        <v>0.1</v>
      </c>
    </row>
    <row r="3239" spans="2:5" ht="12.75" x14ac:dyDescent="0.2">
      <c r="B3239" s="179" t="s">
        <v>3732</v>
      </c>
      <c r="C3239" s="180" t="s">
        <v>3721</v>
      </c>
      <c r="D3239" s="179" t="s">
        <v>216</v>
      </c>
      <c r="E3239" s="181">
        <v>0.1</v>
      </c>
    </row>
    <row r="3240" spans="2:5" ht="12.75" x14ac:dyDescent="0.2">
      <c r="B3240" s="179" t="s">
        <v>3733</v>
      </c>
      <c r="C3240" s="180" t="s">
        <v>3721</v>
      </c>
      <c r="D3240" s="179" t="s">
        <v>216</v>
      </c>
      <c r="E3240" s="181">
        <v>0.1</v>
      </c>
    </row>
    <row r="3241" spans="2:5" ht="12.75" x14ac:dyDescent="0.2">
      <c r="B3241" s="179" t="s">
        <v>3734</v>
      </c>
      <c r="C3241" s="180" t="s">
        <v>3721</v>
      </c>
      <c r="D3241" s="179" t="s">
        <v>216</v>
      </c>
      <c r="E3241" s="181">
        <v>0.1</v>
      </c>
    </row>
    <row r="3242" spans="2:5" ht="12.75" x14ac:dyDescent="0.2">
      <c r="B3242" s="179" t="s">
        <v>3735</v>
      </c>
      <c r="C3242" s="180" t="s">
        <v>3721</v>
      </c>
      <c r="D3242" s="179" t="s">
        <v>216</v>
      </c>
      <c r="E3242" s="181">
        <v>0.1</v>
      </c>
    </row>
    <row r="3243" spans="2:5" ht="12.75" x14ac:dyDescent="0.2">
      <c r="B3243" s="179" t="s">
        <v>3736</v>
      </c>
      <c r="C3243" s="180" t="s">
        <v>3721</v>
      </c>
      <c r="D3243" s="179" t="s">
        <v>216</v>
      </c>
      <c r="E3243" s="181">
        <v>0.1</v>
      </c>
    </row>
    <row r="3244" spans="2:5" ht="12.75" x14ac:dyDescent="0.2">
      <c r="B3244" s="179" t="s">
        <v>3737</v>
      </c>
      <c r="C3244" s="180" t="s">
        <v>3721</v>
      </c>
      <c r="D3244" s="179" t="s">
        <v>216</v>
      </c>
      <c r="E3244" s="181">
        <v>0.1</v>
      </c>
    </row>
    <row r="3245" spans="2:5" ht="12.75" x14ac:dyDescent="0.2">
      <c r="B3245" s="179" t="s">
        <v>3738</v>
      </c>
      <c r="C3245" s="180" t="s">
        <v>3721</v>
      </c>
      <c r="D3245" s="179" t="s">
        <v>216</v>
      </c>
      <c r="E3245" s="181">
        <v>0.1</v>
      </c>
    </row>
    <row r="3246" spans="2:5" ht="12.75" x14ac:dyDescent="0.2">
      <c r="B3246" s="179" t="s">
        <v>3739</v>
      </c>
      <c r="C3246" s="180" t="s">
        <v>3721</v>
      </c>
      <c r="D3246" s="179" t="s">
        <v>216</v>
      </c>
      <c r="E3246" s="181">
        <v>0.1</v>
      </c>
    </row>
    <row r="3247" spans="2:5" ht="12.75" x14ac:dyDescent="0.2">
      <c r="B3247" s="179" t="s">
        <v>3740</v>
      </c>
      <c r="C3247" s="180" t="s">
        <v>3721</v>
      </c>
      <c r="D3247" s="179" t="s">
        <v>216</v>
      </c>
      <c r="E3247" s="181">
        <v>0.1</v>
      </c>
    </row>
    <row r="3248" spans="2:5" ht="12.75" x14ac:dyDescent="0.2">
      <c r="B3248" s="179" t="s">
        <v>3741</v>
      </c>
      <c r="C3248" s="180" t="s">
        <v>3742</v>
      </c>
      <c r="D3248" s="179" t="s">
        <v>214</v>
      </c>
      <c r="E3248" s="181">
        <v>0.1</v>
      </c>
    </row>
    <row r="3249" spans="2:5" ht="12.75" x14ac:dyDescent="0.2">
      <c r="B3249" s="179" t="s">
        <v>3743</v>
      </c>
      <c r="C3249" s="180" t="s">
        <v>3744</v>
      </c>
      <c r="D3249" s="179" t="s">
        <v>214</v>
      </c>
      <c r="E3249" s="181">
        <v>0.5</v>
      </c>
    </row>
    <row r="3250" spans="2:5" ht="12.75" x14ac:dyDescent="0.2">
      <c r="B3250" s="179" t="s">
        <v>3745</v>
      </c>
      <c r="C3250" s="180" t="s">
        <v>3746</v>
      </c>
      <c r="D3250" s="179" t="s">
        <v>214</v>
      </c>
      <c r="E3250" s="181">
        <v>0.5</v>
      </c>
    </row>
    <row r="3251" spans="2:5" ht="12.75" x14ac:dyDescent="0.2">
      <c r="B3251" s="179" t="s">
        <v>3747</v>
      </c>
      <c r="C3251" s="180" t="s">
        <v>3748</v>
      </c>
      <c r="D3251" s="179" t="s">
        <v>214</v>
      </c>
      <c r="E3251" s="181">
        <v>0.5</v>
      </c>
    </row>
    <row r="3252" spans="2:5" ht="12.75" x14ac:dyDescent="0.2">
      <c r="B3252" s="179" t="s">
        <v>3749</v>
      </c>
      <c r="C3252" s="180" t="s">
        <v>3748</v>
      </c>
      <c r="D3252" s="179" t="s">
        <v>216</v>
      </c>
      <c r="E3252" s="181">
        <v>0.5</v>
      </c>
    </row>
    <row r="3253" spans="2:5" ht="12.75" x14ac:dyDescent="0.2">
      <c r="B3253" s="179" t="s">
        <v>3750</v>
      </c>
      <c r="C3253" s="180" t="s">
        <v>3748</v>
      </c>
      <c r="D3253" s="179" t="s">
        <v>216</v>
      </c>
      <c r="E3253" s="181">
        <v>0.5</v>
      </c>
    </row>
    <row r="3254" spans="2:5" ht="12.75" x14ac:dyDescent="0.2">
      <c r="B3254" s="179" t="s">
        <v>3751</v>
      </c>
      <c r="C3254" s="180" t="s">
        <v>3748</v>
      </c>
      <c r="D3254" s="179" t="s">
        <v>216</v>
      </c>
      <c r="E3254" s="181">
        <v>0.5</v>
      </c>
    </row>
    <row r="3255" spans="2:5" ht="12.75" x14ac:dyDescent="0.2">
      <c r="B3255" s="179" t="s">
        <v>3752</v>
      </c>
      <c r="C3255" s="180" t="s">
        <v>3748</v>
      </c>
      <c r="D3255" s="179" t="s">
        <v>216</v>
      </c>
      <c r="E3255" s="181">
        <v>0.5</v>
      </c>
    </row>
    <row r="3256" spans="2:5" ht="12.75" x14ac:dyDescent="0.2">
      <c r="B3256" s="179" t="s">
        <v>3753</v>
      </c>
      <c r="C3256" s="180" t="s">
        <v>3748</v>
      </c>
      <c r="D3256" s="179" t="s">
        <v>216</v>
      </c>
      <c r="E3256" s="181">
        <v>0.5</v>
      </c>
    </row>
    <row r="3257" spans="2:5" ht="12.75" x14ac:dyDescent="0.2">
      <c r="B3257" s="179" t="s">
        <v>3754</v>
      </c>
      <c r="C3257" s="180" t="s">
        <v>3748</v>
      </c>
      <c r="D3257" s="179" t="s">
        <v>216</v>
      </c>
      <c r="E3257" s="181">
        <v>0.5</v>
      </c>
    </row>
    <row r="3258" spans="2:5" ht="12.75" x14ac:dyDescent="0.2">
      <c r="B3258" s="179" t="s">
        <v>3755</v>
      </c>
      <c r="C3258" s="180" t="s">
        <v>3748</v>
      </c>
      <c r="D3258" s="179" t="s">
        <v>216</v>
      </c>
      <c r="E3258" s="181">
        <v>0.5</v>
      </c>
    </row>
    <row r="3259" spans="2:5" ht="12.75" x14ac:dyDescent="0.2">
      <c r="B3259" s="179" t="s">
        <v>3756</v>
      </c>
      <c r="C3259" s="180" t="s">
        <v>3748</v>
      </c>
      <c r="D3259" s="179" t="s">
        <v>216</v>
      </c>
      <c r="E3259" s="181">
        <v>0.5</v>
      </c>
    </row>
    <row r="3260" spans="2:5" ht="12.75" x14ac:dyDescent="0.2">
      <c r="B3260" s="179" t="s">
        <v>3757</v>
      </c>
      <c r="C3260" s="180" t="s">
        <v>3748</v>
      </c>
      <c r="D3260" s="179" t="s">
        <v>216</v>
      </c>
      <c r="E3260" s="181">
        <v>0.5</v>
      </c>
    </row>
    <row r="3261" spans="2:5" ht="12.75" x14ac:dyDescent="0.2">
      <c r="B3261" s="179" t="s">
        <v>3758</v>
      </c>
      <c r="C3261" s="180" t="s">
        <v>3759</v>
      </c>
      <c r="D3261" s="179" t="s">
        <v>214</v>
      </c>
      <c r="E3261" s="181">
        <v>0.5</v>
      </c>
    </row>
    <row r="3262" spans="2:5" ht="12.75" x14ac:dyDescent="0.2">
      <c r="B3262" s="179" t="s">
        <v>3760</v>
      </c>
      <c r="C3262" s="180" t="s">
        <v>3761</v>
      </c>
      <c r="D3262" s="179" t="s">
        <v>214</v>
      </c>
      <c r="E3262" s="181">
        <v>0.5</v>
      </c>
    </row>
    <row r="3263" spans="2:5" ht="12.75" x14ac:dyDescent="0.2">
      <c r="B3263" s="179" t="s">
        <v>3762</v>
      </c>
      <c r="C3263" s="180" t="s">
        <v>3761</v>
      </c>
      <c r="D3263" s="179" t="s">
        <v>216</v>
      </c>
      <c r="E3263" s="181">
        <v>0.5</v>
      </c>
    </row>
    <row r="3264" spans="2:5" ht="12.75" x14ac:dyDescent="0.2">
      <c r="B3264" s="179" t="s">
        <v>3763</v>
      </c>
      <c r="C3264" s="180" t="s">
        <v>3761</v>
      </c>
      <c r="D3264" s="179" t="s">
        <v>216</v>
      </c>
      <c r="E3264" s="181">
        <v>0.5</v>
      </c>
    </row>
    <row r="3265" spans="2:5" ht="12.75" x14ac:dyDescent="0.2">
      <c r="B3265" s="179" t="s">
        <v>3764</v>
      </c>
      <c r="C3265" s="180" t="s">
        <v>3761</v>
      </c>
      <c r="D3265" s="179" t="s">
        <v>216</v>
      </c>
      <c r="E3265" s="181">
        <v>0.5</v>
      </c>
    </row>
    <row r="3266" spans="2:5" ht="12.75" x14ac:dyDescent="0.2">
      <c r="B3266" s="179" t="s">
        <v>3765</v>
      </c>
      <c r="C3266" s="180" t="s">
        <v>3761</v>
      </c>
      <c r="D3266" s="179" t="s">
        <v>216</v>
      </c>
      <c r="E3266" s="181">
        <v>0.5</v>
      </c>
    </row>
    <row r="3267" spans="2:5" ht="12.75" x14ac:dyDescent="0.2">
      <c r="B3267" s="179" t="s">
        <v>3766</v>
      </c>
      <c r="C3267" s="180" t="s">
        <v>3761</v>
      </c>
      <c r="D3267" s="179" t="s">
        <v>216</v>
      </c>
      <c r="E3267" s="181">
        <v>0.5</v>
      </c>
    </row>
    <row r="3268" spans="2:5" ht="12.75" x14ac:dyDescent="0.2">
      <c r="B3268" s="179" t="s">
        <v>3767</v>
      </c>
      <c r="C3268" s="180" t="s">
        <v>3761</v>
      </c>
      <c r="D3268" s="179" t="s">
        <v>216</v>
      </c>
      <c r="E3268" s="181">
        <v>0.5</v>
      </c>
    </row>
    <row r="3269" spans="2:5" ht="12.75" x14ac:dyDescent="0.2">
      <c r="B3269" s="179" t="s">
        <v>3768</v>
      </c>
      <c r="C3269" s="180" t="s">
        <v>3761</v>
      </c>
      <c r="D3269" s="179" t="s">
        <v>216</v>
      </c>
      <c r="E3269" s="181">
        <v>0.5</v>
      </c>
    </row>
    <row r="3270" spans="2:5" ht="12.75" x14ac:dyDescent="0.2">
      <c r="B3270" s="179" t="s">
        <v>3769</v>
      </c>
      <c r="C3270" s="180" t="s">
        <v>3761</v>
      </c>
      <c r="D3270" s="179" t="s">
        <v>216</v>
      </c>
      <c r="E3270" s="181">
        <v>0.5</v>
      </c>
    </row>
    <row r="3271" spans="2:5" ht="12.75" x14ac:dyDescent="0.2">
      <c r="B3271" s="179" t="s">
        <v>3770</v>
      </c>
      <c r="C3271" s="180" t="s">
        <v>3761</v>
      </c>
      <c r="D3271" s="179" t="s">
        <v>216</v>
      </c>
      <c r="E3271" s="181">
        <v>0.5</v>
      </c>
    </row>
    <row r="3272" spans="2:5" ht="12.75" x14ac:dyDescent="0.2">
      <c r="B3272" s="179" t="s">
        <v>3771</v>
      </c>
      <c r="C3272" s="180" t="s">
        <v>3772</v>
      </c>
      <c r="D3272" s="179" t="s">
        <v>214</v>
      </c>
      <c r="E3272" s="181">
        <v>4</v>
      </c>
    </row>
    <row r="3273" spans="2:5" ht="12.75" x14ac:dyDescent="0.2">
      <c r="B3273" s="179" t="s">
        <v>3773</v>
      </c>
      <c r="C3273" s="180" t="s">
        <v>3772</v>
      </c>
      <c r="D3273" s="179" t="s">
        <v>216</v>
      </c>
      <c r="E3273" s="181">
        <v>0.5</v>
      </c>
    </row>
    <row r="3274" spans="2:5" ht="12.75" x14ac:dyDescent="0.2">
      <c r="B3274" s="179" t="s">
        <v>3774</v>
      </c>
      <c r="C3274" s="180" t="s">
        <v>3772</v>
      </c>
      <c r="D3274" s="179" t="s">
        <v>216</v>
      </c>
      <c r="E3274" s="181">
        <v>0.5</v>
      </c>
    </row>
    <row r="3275" spans="2:5" ht="12.75" x14ac:dyDescent="0.2">
      <c r="B3275" s="179" t="s">
        <v>3775</v>
      </c>
      <c r="C3275" s="180" t="s">
        <v>3772</v>
      </c>
      <c r="D3275" s="179" t="s">
        <v>216</v>
      </c>
      <c r="E3275" s="181">
        <v>0.5</v>
      </c>
    </row>
    <row r="3276" spans="2:5" ht="12.75" x14ac:dyDescent="0.2">
      <c r="B3276" s="179" t="s">
        <v>3776</v>
      </c>
      <c r="C3276" s="180" t="s">
        <v>3777</v>
      </c>
      <c r="D3276" s="179" t="s">
        <v>214</v>
      </c>
      <c r="E3276" s="181">
        <v>0.5</v>
      </c>
    </row>
    <row r="3277" spans="2:5" ht="12.75" x14ac:dyDescent="0.2">
      <c r="B3277" s="179" t="s">
        <v>3775</v>
      </c>
      <c r="C3277" s="180" t="s">
        <v>3777</v>
      </c>
      <c r="D3277" s="179" t="s">
        <v>214</v>
      </c>
      <c r="E3277" s="181">
        <v>0.5</v>
      </c>
    </row>
  </sheetData>
  <mergeCells count="2">
    <mergeCell ref="G5:K7"/>
    <mergeCell ref="G9:K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Tarifario completo</vt:lpstr>
      <vt:lpstr>Tarifas Web</vt:lpstr>
      <vt:lpstr>Precios Mostrador</vt:lpstr>
      <vt:lpstr>Linea VIP - Tarifas Web</vt:lpstr>
      <vt:lpstr>Internacional</vt:lpstr>
      <vt:lpstr>'Linea VIP - Tarifas Web'!Área_de_impresión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</dc:creator>
  <cp:lastModifiedBy>Raul</cp:lastModifiedBy>
  <cp:lastPrinted>2026-08-19T15:56:11Z</cp:lastPrinted>
  <dcterms:created xsi:type="dcterms:W3CDTF">2017-08-14T20:02:57Z</dcterms:created>
  <dcterms:modified xsi:type="dcterms:W3CDTF">2026-08-19T15:56:14Z</dcterms:modified>
</cp:coreProperties>
</file>